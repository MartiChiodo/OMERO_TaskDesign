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od\Documents\OMERO_TaskDesign\Simulator\output\logs\"/>
    </mc:Choice>
  </mc:AlternateContent>
  <xr:revisionPtr revIDLastSave="0" documentId="8_{0F9E8F85-EBD3-407D-8F1E-3B8B42D1375E}" xr6:coauthVersionLast="47" xr6:coauthVersionMax="47" xr10:uidLastSave="{00000000-0000-0000-0000-000000000000}"/>
  <bookViews>
    <workbookView xWindow="720" yWindow="720" windowWidth="16910" windowHeight="8840" tabRatio="500" activeTab="2" xr2:uid="{00000000-000D-0000-FFFF-FFFF00000000}"/>
  </bookViews>
  <sheets>
    <sheet name="gurobi" sheetId="1" r:id="rId1"/>
    <sheet name="lns" sheetId="2" r:id="rId2"/>
    <sheet name="comparison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" i="3" l="1" a="1"/>
  <c r="M4" i="3" a="1"/>
  <c r="M3" i="3" a="1"/>
  <c r="M2" i="3" a="1"/>
  <c r="L2" i="3"/>
  <c r="K4" i="3" a="1"/>
  <c r="K5" i="3" a="1"/>
  <c r="K3" i="3" a="1"/>
  <c r="K2" i="3" a="1"/>
  <c r="O5" i="3" a="1"/>
  <c r="O4" i="3" a="1"/>
  <c r="O2" i="3" a="1"/>
  <c r="O3" i="3" a="1"/>
  <c r="E2" i="3"/>
  <c r="O6" i="3"/>
  <c r="S5" i="3"/>
  <c r="R5" i="3"/>
  <c r="Q5" i="3"/>
  <c r="P5" i="3"/>
  <c r="N5" i="3"/>
  <c r="L5" i="3"/>
  <c r="J5" i="3"/>
  <c r="I5" i="3"/>
  <c r="H5" i="3"/>
  <c r="G5" i="3"/>
  <c r="F5" i="3"/>
  <c r="E5" i="3"/>
  <c r="D5" i="3"/>
  <c r="C5" i="3"/>
  <c r="B5" i="3"/>
  <c r="S4" i="3"/>
  <c r="R4" i="3"/>
  <c r="Q4" i="3"/>
  <c r="P4" i="3"/>
  <c r="N4" i="3"/>
  <c r="L4" i="3"/>
  <c r="J4" i="3"/>
  <c r="I4" i="3"/>
  <c r="H4" i="3"/>
  <c r="G4" i="3"/>
  <c r="F4" i="3"/>
  <c r="E4" i="3"/>
  <c r="D4" i="3"/>
  <c r="C4" i="3"/>
  <c r="B4" i="3"/>
  <c r="S3" i="3"/>
  <c r="R3" i="3"/>
  <c r="Q3" i="3"/>
  <c r="P3" i="3"/>
  <c r="N3" i="3"/>
  <c r="L3" i="3"/>
  <c r="J3" i="3"/>
  <c r="I3" i="3"/>
  <c r="H3" i="3"/>
  <c r="G3" i="3"/>
  <c r="F3" i="3"/>
  <c r="E3" i="3"/>
  <c r="D3" i="3"/>
  <c r="C3" i="3"/>
  <c r="B3" i="3"/>
  <c r="S2" i="3"/>
  <c r="R2" i="3"/>
  <c r="Q2" i="3"/>
  <c r="P2" i="3"/>
  <c r="N2" i="3"/>
  <c r="J2" i="3"/>
  <c r="I2" i="3"/>
  <c r="H2" i="3"/>
  <c r="G2" i="3"/>
  <c r="F2" i="3"/>
  <c r="D2" i="3"/>
  <c r="C2" i="3"/>
  <c r="B2" i="3"/>
  <c r="O5" i="3"/>
  <c r="M5" i="3"/>
  <c r="K5" i="3"/>
  <c r="O4" i="3"/>
  <c r="M4" i="3"/>
  <c r="K4" i="3"/>
  <c r="O3" i="3"/>
  <c r="M3" i="3"/>
  <c r="K3" i="3"/>
  <c r="O2" i="3"/>
  <c r="M2" i="3"/>
  <c r="K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000-000001000000}">
      <text>
        <r>
          <rPr>
            <sz val="10"/>
            <rFont val="Arial"/>
            <family val="2"/>
          </rPr>
          <t>Gurobi seed (Seed param). Gurobi is NOT deterministic: vary it and aggregate per seed_data.</t>
        </r>
      </text>
    </comment>
    <comment ref="E1" authorId="0" shapeId="0" xr:uid="{00000000-0006-0000-0000-000002000000}">
      <text>
        <r>
          <rPr>
            <sz val="10"/>
            <rFont val="Arial"/>
            <family val="2"/>
          </rPr>
          <t>Stage-2 incumbent at time limit (NOT optimum; S2 is MAX).</t>
        </r>
      </text>
    </comment>
    <comment ref="F1" authorId="0" shapeId="0" xr:uid="{00000000-0006-0000-0000-000003000000}">
      <text>
        <r>
          <rPr>
            <sz val="10"/>
            <rFont val="Arial"/>
            <family val="2"/>
          </rPr>
          <t>Stage-2 best bound (upper bound on true optimum).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100-000001000000}">
      <text>
        <r>
          <rPr>
            <sz val="10"/>
            <rFont val="Arial"/>
            <family val="2"/>
          </rPr>
          <t>LNS destroy seed. Vary it at fixed seed_data and aggregate per seed_data.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<sst xmlns="http://schemas.openxmlformats.org/spreadsheetml/2006/main" count="37" uniqueCount="31">
  <si>
    <t>seed_data</t>
  </si>
  <si>
    <t>seed_solver</t>
  </si>
  <si>
    <t>Opt_S1</t>
  </si>
  <si>
    <t>Time_S1_s</t>
  </si>
  <si>
    <t>Obj_S2</t>
  </si>
  <si>
    <t>Bound_S2</t>
  </si>
  <si>
    <t>Time_S2_s</t>
  </si>
  <si>
    <t>Obj_S1</t>
  </si>
  <si>
    <t>Gur_Opt_S1_mean</t>
  </si>
  <si>
    <t>Gur_Opt_S1_worst</t>
  </si>
  <si>
    <t>LNS_Obj_S1_mean</t>
  </si>
  <si>
    <t>LNS_Obj_S1_worst</t>
  </si>
  <si>
    <t>Gur_Time_S1_mean</t>
  </si>
  <si>
    <t>Gur_Time_S1_worst</t>
  </si>
  <si>
    <t>LNS_Time_S1_mean</t>
  </si>
  <si>
    <t>LNS_Time_S1_worst</t>
  </si>
  <si>
    <t>Gur_Obj_S2_mean</t>
  </si>
  <si>
    <t>Gur_Obj_S2_worst</t>
  </si>
  <si>
    <t>Bound_S2_mean</t>
  </si>
  <si>
    <t>LNS_Obj_S2_mean</t>
  </si>
  <si>
    <t>LNS_Obj_S2_worst</t>
  </si>
  <si>
    <t>Gur_Time_S2_mean</t>
  </si>
  <si>
    <t>Gur_Time_S2_worst</t>
  </si>
  <si>
    <t>LNS_Time_S2_mean</t>
  </si>
  <si>
    <t>LNS_Time_S2_worst</t>
  </si>
  <si>
    <t>worst definitions (computed per seed_data, aggregating over seed_solver):</t>
  </si>
  <si>
    <t xml:space="preserve">  Stage-1 objectives are MIN -&gt; worst = MAX (highest).</t>
  </si>
  <si>
    <t xml:space="preserve">  Stage-2 objectives are MAX -&gt; worst = MIN (lowest).</t>
  </si>
  <si>
    <t xml:space="preserve">  Times -&gt; worst = slowest (MAX).</t>
  </si>
  <si>
    <t xml:space="preserve">  Bound_S2 (upper bound) -&gt; worst = loosest = MAX.</t>
  </si>
  <si>
    <t>Bound_S2_best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</si>
</sst>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i/>
      <sz val="9"/>
      <color rgb="FFC00000"/>
      <name val="Arial"/>
      <charset val="1"/>
    </font>
    <font>
      <i/>
      <sz val="9"/>
      <color rgb="FF000000"/>
      <name val="Arial"/>
      <charset val="1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2" fontId="2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robi" displayName="Gurobi" ref="A1:G121" totalsRowShown="0">
  <autoFilter ref="A1:G121" xr:uid="{00000000-0009-0000-0100-000001000000}"/>
  <tableColumns count="7">
    <tableColumn id="1" xr3:uid="{00000000-0010-0000-0000-000001000000}" name="seed_data"/>
    <tableColumn id="2" xr3:uid="{00000000-0010-0000-0000-000002000000}" name="seed_solver"/>
    <tableColumn id="3" xr3:uid="{00000000-0010-0000-0000-000003000000}" name="Opt_S1"/>
    <tableColumn id="4" xr3:uid="{00000000-0010-0000-0000-000004000000}" name="Time_S1_s"/>
    <tableColumn id="5" xr3:uid="{00000000-0010-0000-0000-000005000000}" name="Obj_S2"/>
    <tableColumn id="6" xr3:uid="{00000000-0010-0000-0000-000006000000}" name="Bound_S2"/>
    <tableColumn id="7" xr3:uid="{00000000-0010-0000-0000-000007000000}" name="Time_S2_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NS" displayName="LNS" ref="A1:F121" totalsRowShown="0">
  <autoFilter ref="A1:F121" xr:uid="{00000000-0009-0000-0100-000002000000}"/>
  <tableColumns count="6">
    <tableColumn id="1" xr3:uid="{00000000-0010-0000-0100-000001000000}" name="seed_data"/>
    <tableColumn id="2" xr3:uid="{00000000-0010-0000-0100-000002000000}" name="seed_solver"/>
    <tableColumn id="3" xr3:uid="{00000000-0010-0000-0100-000003000000}" name="Obj_S1"/>
    <tableColumn id="4" xr3:uid="{00000000-0010-0000-0100-000004000000}" name="Time_S1_s"/>
    <tableColumn id="5" xr3:uid="{00000000-0010-0000-0100-000005000000}" name="Obj_S2"/>
    <tableColumn id="6" xr3:uid="{00000000-0010-0000-0100-000006000000}" name="Time_S2_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zoomScaleNormal="100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G18" sqref="G18"/>
    </sheetView>
  </sheetViews>
  <sheetFormatPr defaultColWidth="8.6328125" defaultRowHeight="14.5" x14ac:dyDescent="0.35"/>
  <cols>
    <col min="1" max="1" width="11" customWidth="1"/>
    <col min="2" max="2" width="12" customWidth="1"/>
    <col min="3" max="3" width="9.90625" customWidth="1"/>
    <col min="4" max="4" width="12" customWidth="1"/>
    <col min="5" max="5" width="9.90625" customWidth="1"/>
    <col min="6" max="6" width="11" customWidth="1"/>
    <col min="7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2">
        <v>343310</v>
      </c>
      <c r="B3" s="2">
        <v>1</v>
      </c>
      <c r="C3" s="2">
        <v>34.200000000000003</v>
      </c>
      <c r="D3" s="2">
        <v>27.96</v>
      </c>
      <c r="E3" s="2">
        <v>67.291899999999998</v>
      </c>
      <c r="F3" s="2">
        <v>90.878100000000003</v>
      </c>
      <c r="G3" s="2">
        <v>900.18</v>
      </c>
    </row>
    <row r="4" spans="1:7" x14ac:dyDescent="0.35">
      <c r="A4" s="2">
        <v>343310</v>
      </c>
      <c r="B4" s="2">
        <v>2</v>
      </c>
      <c r="C4" s="2">
        <v>34.200000000000003</v>
      </c>
      <c r="D4" s="2">
        <v>38.909999999999997</v>
      </c>
      <c r="E4" s="2">
        <v>61.517600000000002</v>
      </c>
      <c r="F4" s="2">
        <v>91.072199999999995</v>
      </c>
      <c r="G4" s="2">
        <v>900.23</v>
      </c>
    </row>
    <row r="5" spans="1:7" x14ac:dyDescent="0.35">
      <c r="A5" s="2">
        <v>343310</v>
      </c>
      <c r="B5" s="2">
        <v>3</v>
      </c>
      <c r="C5" s="2">
        <v>34.200000000000003</v>
      </c>
      <c r="D5" s="2">
        <v>47.99</v>
      </c>
      <c r="E5" s="2">
        <v>79.957700000000003</v>
      </c>
      <c r="F5" s="2">
        <v>91.034400000000005</v>
      </c>
      <c r="G5" s="2">
        <v>900.35</v>
      </c>
    </row>
    <row r="6" spans="1:7" x14ac:dyDescent="0.35">
      <c r="A6" s="2">
        <v>343310</v>
      </c>
      <c r="B6" s="2">
        <v>4</v>
      </c>
      <c r="C6" s="2">
        <v>34.200000000000003</v>
      </c>
      <c r="D6" s="2">
        <v>40.94</v>
      </c>
      <c r="E6" s="2">
        <v>69.839600000000004</v>
      </c>
      <c r="F6" s="2">
        <v>90.953000000000003</v>
      </c>
      <c r="G6" s="2">
        <v>900.25</v>
      </c>
    </row>
    <row r="7" spans="1:7" x14ac:dyDescent="0.35">
      <c r="A7" s="2">
        <v>293874</v>
      </c>
      <c r="B7" s="2">
        <v>1</v>
      </c>
      <c r="C7" s="2">
        <v>33</v>
      </c>
      <c r="D7" s="2">
        <v>13.89</v>
      </c>
      <c r="E7" s="2">
        <v>58.278599999999997</v>
      </c>
      <c r="F7" s="2">
        <v>90.998099999999994</v>
      </c>
      <c r="G7" s="2">
        <v>900.19</v>
      </c>
    </row>
    <row r="8" spans="1:7" x14ac:dyDescent="0.35">
      <c r="A8" s="2">
        <v>293874</v>
      </c>
      <c r="B8" s="2">
        <v>2</v>
      </c>
      <c r="C8" s="2">
        <v>33</v>
      </c>
      <c r="D8" s="2">
        <v>15.89</v>
      </c>
      <c r="E8" s="2">
        <v>27.407699999999998</v>
      </c>
      <c r="F8" s="2">
        <v>90.946299999999994</v>
      </c>
      <c r="G8" s="2">
        <v>900.26</v>
      </c>
    </row>
    <row r="9" spans="1:7" x14ac:dyDescent="0.35">
      <c r="A9" s="2">
        <v>293874</v>
      </c>
      <c r="B9" s="2">
        <v>3</v>
      </c>
      <c r="C9" s="2">
        <v>33</v>
      </c>
      <c r="D9" s="2">
        <v>17.399999999999999</v>
      </c>
      <c r="E9" s="2">
        <v>70.626199999999997</v>
      </c>
      <c r="F9" s="2">
        <v>91.003</v>
      </c>
      <c r="G9" s="2">
        <v>900.32</v>
      </c>
    </row>
    <row r="10" spans="1:7" x14ac:dyDescent="0.35">
      <c r="A10" s="2">
        <v>293874</v>
      </c>
      <c r="B10" s="2">
        <v>4</v>
      </c>
      <c r="C10" s="2">
        <v>33</v>
      </c>
      <c r="D10" s="2">
        <v>17.079999999999998</v>
      </c>
      <c r="E10" s="2">
        <v>38.903500000000001</v>
      </c>
      <c r="F10" s="2">
        <v>90.989800000000002</v>
      </c>
      <c r="G10" s="2">
        <v>900.22</v>
      </c>
    </row>
    <row r="11" spans="1:7" x14ac:dyDescent="0.35">
      <c r="A11" s="2">
        <v>789124</v>
      </c>
      <c r="B11" s="2">
        <v>1</v>
      </c>
      <c r="C11" s="2">
        <v>31.1</v>
      </c>
      <c r="D11" s="2">
        <v>36.24</v>
      </c>
      <c r="E11" s="2">
        <v>71.721900000000005</v>
      </c>
      <c r="F11" s="2">
        <v>82.260599999999997</v>
      </c>
      <c r="G11" s="2">
        <v>900.25</v>
      </c>
    </row>
    <row r="12" spans="1:7" x14ac:dyDescent="0.35">
      <c r="A12" s="2">
        <v>789124</v>
      </c>
      <c r="B12" s="2">
        <v>2</v>
      </c>
      <c r="C12" s="2">
        <v>31.1</v>
      </c>
      <c r="D12" s="2">
        <v>52.73</v>
      </c>
      <c r="E12" s="2">
        <v>60.3262</v>
      </c>
      <c r="F12" s="2">
        <v>82.250900000000001</v>
      </c>
      <c r="G12" s="2">
        <v>900.41</v>
      </c>
    </row>
    <row r="13" spans="1:7" x14ac:dyDescent="0.35">
      <c r="A13" s="2">
        <v>789124</v>
      </c>
      <c r="B13" s="2">
        <v>3</v>
      </c>
      <c r="C13" s="2">
        <v>31.1</v>
      </c>
      <c r="D13" s="2">
        <v>22.97</v>
      </c>
      <c r="E13" s="2">
        <v>65.966099999999997</v>
      </c>
      <c r="F13" s="2">
        <v>82.250699999999995</v>
      </c>
      <c r="G13" s="2">
        <v>900.29</v>
      </c>
    </row>
    <row r="14" spans="1:7" x14ac:dyDescent="0.35">
      <c r="A14" s="2">
        <v>789124</v>
      </c>
      <c r="B14" s="2">
        <v>4</v>
      </c>
      <c r="C14" s="2">
        <v>31.1</v>
      </c>
      <c r="D14" s="2">
        <v>22.69</v>
      </c>
      <c r="E14" s="2">
        <v>68.190200000000004</v>
      </c>
      <c r="F14" s="2">
        <v>82.263199999999998</v>
      </c>
      <c r="G14" s="2">
        <v>900.23</v>
      </c>
    </row>
    <row r="15" spans="1:7" x14ac:dyDescent="0.35">
      <c r="A15" s="2">
        <v>987034</v>
      </c>
      <c r="B15" s="2">
        <v>1</v>
      </c>
      <c r="C15" s="2">
        <v>30.6</v>
      </c>
      <c r="D15" s="2">
        <v>27.84</v>
      </c>
      <c r="E15" s="2">
        <v>80.263099999999994</v>
      </c>
      <c r="F15" s="2">
        <v>82.211200000000005</v>
      </c>
      <c r="G15" s="2">
        <v>900.32</v>
      </c>
    </row>
    <row r="16" spans="1:7" x14ac:dyDescent="0.35">
      <c r="A16" s="2">
        <v>987034</v>
      </c>
      <c r="B16" s="2">
        <v>2</v>
      </c>
      <c r="C16" s="2">
        <v>30.6</v>
      </c>
      <c r="D16" s="2">
        <v>25.37</v>
      </c>
      <c r="E16" s="2">
        <v>79.947000000000003</v>
      </c>
      <c r="F16" s="2">
        <v>82.206299999999999</v>
      </c>
      <c r="G16" s="2">
        <v>900.27</v>
      </c>
    </row>
    <row r="17" spans="1:7" x14ac:dyDescent="0.35">
      <c r="A17" s="2">
        <v>987034</v>
      </c>
      <c r="B17" s="2">
        <v>3</v>
      </c>
      <c r="C17" s="2">
        <v>30.6</v>
      </c>
      <c r="D17" s="2">
        <v>30.86</v>
      </c>
      <c r="E17" s="2">
        <v>77.921999999999997</v>
      </c>
      <c r="F17" s="2">
        <v>82.204300000000003</v>
      </c>
      <c r="G17" s="2">
        <v>900.56</v>
      </c>
    </row>
    <row r="18" spans="1:7" x14ac:dyDescent="0.35">
      <c r="A18" s="2">
        <v>987034</v>
      </c>
      <c r="B18" s="2">
        <v>4</v>
      </c>
      <c r="C18" s="2">
        <v>30.6</v>
      </c>
      <c r="D18" s="2">
        <v>33.950000000000003</v>
      </c>
      <c r="E18" s="2">
        <v>73.678200000000004</v>
      </c>
      <c r="F18" s="2">
        <v>82.186999999999998</v>
      </c>
      <c r="G18" s="2">
        <v>900.34</v>
      </c>
    </row>
    <row r="19" spans="1:7" x14ac:dyDescent="0.35">
      <c r="A19" s="2"/>
      <c r="B19" s="2"/>
      <c r="C19" s="2"/>
      <c r="D19" s="2"/>
      <c r="E19" s="2"/>
      <c r="F19" s="2"/>
      <c r="G19" s="2"/>
    </row>
    <row r="20" spans="1:7" x14ac:dyDescent="0.35">
      <c r="A20" s="2"/>
      <c r="B20" s="2"/>
      <c r="C20" s="2"/>
      <c r="D20" s="2"/>
      <c r="E20" s="2"/>
      <c r="F20" s="2"/>
      <c r="G20" s="2"/>
    </row>
    <row r="21" spans="1:7" x14ac:dyDescent="0.35">
      <c r="A21" s="2"/>
      <c r="B21" s="2"/>
      <c r="C21" s="2"/>
      <c r="D21" s="2"/>
      <c r="E21" s="2"/>
      <c r="F21" s="2"/>
      <c r="G21" s="2"/>
    </row>
    <row r="22" spans="1:7" x14ac:dyDescent="0.35">
      <c r="A22" s="2"/>
      <c r="B22" s="2"/>
      <c r="C22" s="2"/>
      <c r="D22" s="2"/>
      <c r="E22" s="2"/>
      <c r="F22" s="2"/>
      <c r="G22" s="2"/>
    </row>
    <row r="23" spans="1:7" x14ac:dyDescent="0.35">
      <c r="A23" s="2"/>
      <c r="B23" s="2"/>
      <c r="C23" s="2"/>
      <c r="D23" s="2"/>
      <c r="E23" s="2"/>
      <c r="F23" s="2"/>
      <c r="G23" s="2"/>
    </row>
    <row r="24" spans="1:7" x14ac:dyDescent="0.35">
      <c r="A24" s="2"/>
      <c r="B24" s="2"/>
      <c r="C24" s="2"/>
      <c r="D24" s="2"/>
      <c r="E24" s="2"/>
      <c r="F24" s="2"/>
      <c r="G24" s="2"/>
    </row>
    <row r="25" spans="1:7" x14ac:dyDescent="0.35">
      <c r="A25" s="2"/>
      <c r="B25" s="2"/>
      <c r="C25" s="2"/>
      <c r="D25" s="2"/>
      <c r="E25" s="2"/>
      <c r="F25" s="2"/>
      <c r="G25" s="2"/>
    </row>
    <row r="26" spans="1:7" x14ac:dyDescent="0.35">
      <c r="A26" s="2"/>
      <c r="B26" s="2"/>
      <c r="C26" s="2"/>
      <c r="D26" s="2"/>
      <c r="E26" s="2"/>
      <c r="F26" s="2"/>
      <c r="G26" s="2"/>
    </row>
    <row r="27" spans="1:7" x14ac:dyDescent="0.35">
      <c r="A27" s="2"/>
      <c r="B27" s="2"/>
      <c r="C27" s="2"/>
      <c r="D27" s="2"/>
      <c r="E27" s="2"/>
      <c r="F27" s="2"/>
      <c r="G27" s="2"/>
    </row>
    <row r="28" spans="1:7" x14ac:dyDescent="0.35">
      <c r="A28" s="2"/>
      <c r="B28" s="2"/>
      <c r="C28" s="2"/>
      <c r="D28" s="2"/>
      <c r="E28" s="2"/>
      <c r="F28" s="2"/>
      <c r="G28" s="2"/>
    </row>
    <row r="29" spans="1:7" x14ac:dyDescent="0.35">
      <c r="A29" s="2"/>
      <c r="B29" s="2"/>
      <c r="C29" s="2"/>
      <c r="D29" s="2"/>
      <c r="E29" s="2"/>
      <c r="F29" s="2"/>
      <c r="G29" s="2"/>
    </row>
    <row r="30" spans="1:7" x14ac:dyDescent="0.35">
      <c r="A30" s="2"/>
      <c r="B30" s="2"/>
      <c r="C30" s="2"/>
      <c r="D30" s="2"/>
      <c r="E30" s="2"/>
      <c r="F30" s="2"/>
      <c r="G30" s="2"/>
    </row>
    <row r="31" spans="1:7" x14ac:dyDescent="0.35">
      <c r="A31" s="2"/>
      <c r="B31" s="2"/>
      <c r="C31" s="2"/>
      <c r="D31" s="2"/>
      <c r="E31" s="2"/>
      <c r="F31" s="2"/>
      <c r="G31" s="2"/>
    </row>
    <row r="32" spans="1:7" x14ac:dyDescent="0.35">
      <c r="A32" s="2"/>
      <c r="B32" s="2"/>
      <c r="C32" s="2"/>
      <c r="D32" s="2"/>
      <c r="E32" s="2"/>
      <c r="F32" s="2"/>
      <c r="G32" s="2"/>
    </row>
    <row r="33" spans="1:7" x14ac:dyDescent="0.35">
      <c r="A33" s="2"/>
      <c r="B33" s="2"/>
      <c r="C33" s="2"/>
      <c r="D33" s="2"/>
      <c r="E33" s="2"/>
      <c r="F33" s="2"/>
      <c r="G33" s="2"/>
    </row>
    <row r="34" spans="1:7" x14ac:dyDescent="0.35">
      <c r="A34" s="2"/>
      <c r="B34" s="2"/>
      <c r="C34" s="2"/>
      <c r="D34" s="2"/>
      <c r="E34" s="2"/>
      <c r="F34" s="2"/>
      <c r="G34" s="2"/>
    </row>
    <row r="35" spans="1:7" x14ac:dyDescent="0.35">
      <c r="A35" s="2"/>
      <c r="B35" s="2"/>
      <c r="C35" s="2"/>
      <c r="D35" s="2"/>
      <c r="E35" s="2"/>
      <c r="F35" s="2"/>
      <c r="G35" s="2"/>
    </row>
    <row r="36" spans="1:7" x14ac:dyDescent="0.35">
      <c r="A36" s="2"/>
      <c r="B36" s="2"/>
      <c r="C36" s="2"/>
      <c r="D36" s="2"/>
      <c r="E36" s="2"/>
      <c r="F36" s="2"/>
      <c r="G36" s="2"/>
    </row>
    <row r="37" spans="1:7" x14ac:dyDescent="0.35">
      <c r="A37" s="2"/>
      <c r="B37" s="2"/>
      <c r="C37" s="2"/>
      <c r="D37" s="2"/>
      <c r="E37" s="2"/>
      <c r="F37" s="2"/>
      <c r="G37" s="2"/>
    </row>
    <row r="38" spans="1:7" x14ac:dyDescent="0.35">
      <c r="A38" s="2"/>
      <c r="B38" s="2"/>
      <c r="C38" s="2"/>
      <c r="D38" s="2"/>
      <c r="E38" s="2"/>
      <c r="F38" s="2"/>
      <c r="G38" s="2"/>
    </row>
    <row r="39" spans="1:7" x14ac:dyDescent="0.35">
      <c r="A39" s="2"/>
      <c r="B39" s="2"/>
      <c r="C39" s="2"/>
      <c r="D39" s="2"/>
      <c r="E39" s="2"/>
      <c r="F39" s="2"/>
      <c r="G39" s="2"/>
    </row>
    <row r="40" spans="1:7" x14ac:dyDescent="0.35">
      <c r="A40" s="2"/>
      <c r="B40" s="2"/>
      <c r="C40" s="2"/>
      <c r="D40" s="2"/>
      <c r="E40" s="2"/>
      <c r="F40" s="2"/>
      <c r="G40" s="2"/>
    </row>
    <row r="41" spans="1:7" x14ac:dyDescent="0.35">
      <c r="A41" s="2"/>
      <c r="B41" s="2"/>
      <c r="C41" s="2"/>
      <c r="D41" s="2"/>
      <c r="E41" s="2"/>
      <c r="F41" s="2"/>
      <c r="G41" s="2"/>
    </row>
    <row r="42" spans="1:7" x14ac:dyDescent="0.35">
      <c r="A42" s="2"/>
      <c r="B42" s="2"/>
      <c r="C42" s="2"/>
      <c r="D42" s="2"/>
      <c r="E42" s="2"/>
      <c r="F42" s="2"/>
      <c r="G42" s="2"/>
    </row>
    <row r="43" spans="1:7" x14ac:dyDescent="0.35">
      <c r="A43" s="2"/>
      <c r="B43" s="2"/>
      <c r="C43" s="2"/>
      <c r="D43" s="2"/>
      <c r="E43" s="2"/>
      <c r="F43" s="2"/>
      <c r="G43" s="2"/>
    </row>
    <row r="44" spans="1:7" x14ac:dyDescent="0.35">
      <c r="A44" s="2"/>
      <c r="B44" s="2"/>
      <c r="C44" s="2"/>
      <c r="D44" s="2"/>
      <c r="E44" s="2"/>
      <c r="F44" s="2"/>
      <c r="G44" s="2"/>
    </row>
    <row r="45" spans="1:7" x14ac:dyDescent="0.35">
      <c r="A45" s="2"/>
      <c r="B45" s="2"/>
      <c r="C45" s="2"/>
      <c r="D45" s="2"/>
      <c r="E45" s="2"/>
      <c r="F45" s="2"/>
      <c r="G45" s="2"/>
    </row>
    <row r="46" spans="1:7" x14ac:dyDescent="0.35">
      <c r="A46" s="2"/>
      <c r="B46" s="2"/>
      <c r="C46" s="2"/>
      <c r="D46" s="2"/>
      <c r="E46" s="2"/>
      <c r="F46" s="2"/>
      <c r="G46" s="2"/>
    </row>
    <row r="47" spans="1:7" x14ac:dyDescent="0.35">
      <c r="A47" s="2"/>
      <c r="B47" s="2"/>
      <c r="C47" s="2"/>
      <c r="D47" s="2"/>
      <c r="E47" s="2"/>
      <c r="F47" s="2"/>
      <c r="G47" s="2"/>
    </row>
    <row r="48" spans="1:7" x14ac:dyDescent="0.35">
      <c r="A48" s="2"/>
      <c r="B48" s="2"/>
      <c r="C48" s="2"/>
      <c r="D48" s="2"/>
      <c r="E48" s="2"/>
      <c r="F48" s="2"/>
      <c r="G48" s="2"/>
    </row>
    <row r="49" spans="1:7" x14ac:dyDescent="0.35">
      <c r="A49" s="2"/>
      <c r="B49" s="2"/>
      <c r="C49" s="2"/>
      <c r="D49" s="2"/>
      <c r="E49" s="2"/>
      <c r="F49" s="2"/>
      <c r="G49" s="2"/>
    </row>
    <row r="50" spans="1:7" x14ac:dyDescent="0.35">
      <c r="A50" s="2"/>
      <c r="B50" s="2"/>
      <c r="C50" s="2"/>
      <c r="D50" s="2"/>
      <c r="E50" s="2"/>
      <c r="F50" s="2"/>
      <c r="G50" s="2"/>
    </row>
    <row r="51" spans="1:7" x14ac:dyDescent="0.35">
      <c r="A51" s="2"/>
      <c r="B51" s="2"/>
      <c r="C51" s="2"/>
      <c r="D51" s="2"/>
      <c r="E51" s="2"/>
      <c r="F51" s="2"/>
      <c r="G51" s="2"/>
    </row>
    <row r="52" spans="1:7" x14ac:dyDescent="0.35">
      <c r="A52" s="2"/>
      <c r="B52" s="2"/>
      <c r="C52" s="2"/>
      <c r="D52" s="2"/>
      <c r="E52" s="2"/>
      <c r="F52" s="2"/>
      <c r="G52" s="2"/>
    </row>
    <row r="53" spans="1:7" x14ac:dyDescent="0.35">
      <c r="A53" s="2"/>
      <c r="B53" s="2"/>
      <c r="C53" s="2"/>
      <c r="D53" s="2"/>
      <c r="E53" s="2"/>
      <c r="F53" s="2"/>
      <c r="G53" s="2"/>
    </row>
    <row r="54" spans="1:7" x14ac:dyDescent="0.35">
      <c r="A54" s="2"/>
      <c r="B54" s="2"/>
      <c r="C54" s="2"/>
      <c r="D54" s="2"/>
      <c r="E54" s="2"/>
      <c r="F54" s="2"/>
      <c r="G54" s="2"/>
    </row>
    <row r="55" spans="1:7" x14ac:dyDescent="0.35">
      <c r="A55" s="2"/>
      <c r="B55" s="2"/>
      <c r="C55" s="2"/>
      <c r="D55" s="2"/>
      <c r="E55" s="2"/>
      <c r="F55" s="2"/>
      <c r="G55" s="2"/>
    </row>
    <row r="56" spans="1:7" x14ac:dyDescent="0.35">
      <c r="A56" s="2"/>
      <c r="B56" s="2"/>
      <c r="C56" s="2"/>
      <c r="D56" s="2"/>
      <c r="E56" s="2"/>
      <c r="F56" s="2"/>
      <c r="G56" s="2"/>
    </row>
    <row r="57" spans="1:7" x14ac:dyDescent="0.35">
      <c r="A57" s="2"/>
      <c r="B57" s="2"/>
      <c r="C57" s="2"/>
      <c r="D57" s="2"/>
      <c r="E57" s="2"/>
      <c r="F57" s="2"/>
      <c r="G57" s="2"/>
    </row>
    <row r="58" spans="1:7" x14ac:dyDescent="0.35">
      <c r="A58" s="2"/>
      <c r="B58" s="2"/>
      <c r="C58" s="2"/>
      <c r="D58" s="2"/>
      <c r="E58" s="2"/>
      <c r="F58" s="2"/>
      <c r="G58" s="2"/>
    </row>
    <row r="59" spans="1:7" x14ac:dyDescent="0.35">
      <c r="A59" s="2"/>
      <c r="B59" s="2"/>
      <c r="C59" s="2"/>
      <c r="D59" s="2"/>
      <c r="E59" s="2"/>
      <c r="F59" s="2"/>
      <c r="G59" s="2"/>
    </row>
    <row r="60" spans="1:7" x14ac:dyDescent="0.35">
      <c r="A60" s="2"/>
      <c r="B60" s="2"/>
      <c r="C60" s="2"/>
      <c r="D60" s="2"/>
      <c r="E60" s="2"/>
      <c r="F60" s="2"/>
      <c r="G60" s="2"/>
    </row>
    <row r="61" spans="1:7" x14ac:dyDescent="0.35">
      <c r="A61" s="2"/>
      <c r="B61" s="2"/>
      <c r="C61" s="2"/>
      <c r="D61" s="2"/>
      <c r="E61" s="2"/>
      <c r="F61" s="2"/>
      <c r="G61" s="2"/>
    </row>
    <row r="62" spans="1:7" x14ac:dyDescent="0.35">
      <c r="A62" s="2"/>
      <c r="B62" s="2"/>
      <c r="C62" s="2"/>
      <c r="D62" s="2"/>
      <c r="E62" s="2"/>
      <c r="F62" s="2"/>
      <c r="G62" s="2"/>
    </row>
    <row r="63" spans="1:7" x14ac:dyDescent="0.35">
      <c r="A63" s="2"/>
      <c r="B63" s="2"/>
      <c r="C63" s="2"/>
      <c r="D63" s="2"/>
      <c r="E63" s="2"/>
      <c r="F63" s="2"/>
      <c r="G63" s="2"/>
    </row>
    <row r="64" spans="1:7" x14ac:dyDescent="0.35">
      <c r="A64" s="2"/>
      <c r="B64" s="2"/>
      <c r="C64" s="2"/>
      <c r="D64" s="2"/>
      <c r="E64" s="2"/>
      <c r="F64" s="2"/>
      <c r="G64" s="2"/>
    </row>
    <row r="65" spans="1:7" x14ac:dyDescent="0.35">
      <c r="A65" s="2"/>
      <c r="B65" s="2"/>
      <c r="C65" s="2"/>
      <c r="D65" s="2"/>
      <c r="E65" s="2"/>
      <c r="F65" s="2"/>
      <c r="G65" s="2"/>
    </row>
    <row r="66" spans="1:7" x14ac:dyDescent="0.35">
      <c r="A66" s="2"/>
      <c r="B66" s="2"/>
      <c r="C66" s="2"/>
      <c r="D66" s="2"/>
      <c r="E66" s="2"/>
      <c r="F66" s="2"/>
      <c r="G66" s="2"/>
    </row>
    <row r="67" spans="1:7" x14ac:dyDescent="0.35">
      <c r="A67" s="2"/>
      <c r="B67" s="2"/>
      <c r="C67" s="2"/>
      <c r="D67" s="2"/>
      <c r="E67" s="2"/>
      <c r="F67" s="2"/>
      <c r="G67" s="2"/>
    </row>
    <row r="68" spans="1:7" x14ac:dyDescent="0.35">
      <c r="A68" s="2"/>
      <c r="B68" s="2"/>
      <c r="C68" s="2"/>
      <c r="D68" s="2"/>
      <c r="E68" s="2"/>
      <c r="F68" s="2"/>
      <c r="G68" s="2"/>
    </row>
    <row r="69" spans="1:7" x14ac:dyDescent="0.35">
      <c r="A69" s="2"/>
      <c r="B69" s="2"/>
      <c r="C69" s="2"/>
      <c r="D69" s="2"/>
      <c r="E69" s="2"/>
      <c r="F69" s="2"/>
      <c r="G69" s="2"/>
    </row>
    <row r="70" spans="1:7" x14ac:dyDescent="0.35">
      <c r="A70" s="2"/>
      <c r="B70" s="2"/>
      <c r="C70" s="2"/>
      <c r="D70" s="2"/>
      <c r="E70" s="2"/>
      <c r="F70" s="2"/>
      <c r="G70" s="2"/>
    </row>
    <row r="71" spans="1:7" x14ac:dyDescent="0.35">
      <c r="A71" s="2"/>
      <c r="B71" s="2"/>
      <c r="C71" s="2"/>
      <c r="D71" s="2"/>
      <c r="E71" s="2"/>
      <c r="F71" s="2"/>
      <c r="G71" s="2"/>
    </row>
    <row r="72" spans="1:7" x14ac:dyDescent="0.35">
      <c r="A72" s="2"/>
      <c r="B72" s="2"/>
      <c r="C72" s="2"/>
      <c r="D72" s="2"/>
      <c r="E72" s="2"/>
      <c r="F72" s="2"/>
      <c r="G72" s="2"/>
    </row>
    <row r="73" spans="1:7" x14ac:dyDescent="0.35">
      <c r="A73" s="2"/>
      <c r="B73" s="2"/>
      <c r="C73" s="2"/>
      <c r="D73" s="2"/>
      <c r="E73" s="2"/>
      <c r="F73" s="2"/>
      <c r="G73" s="2"/>
    </row>
    <row r="74" spans="1:7" x14ac:dyDescent="0.35">
      <c r="A74" s="2"/>
      <c r="B74" s="2"/>
      <c r="C74" s="2"/>
      <c r="D74" s="2"/>
      <c r="E74" s="2"/>
      <c r="F74" s="2"/>
      <c r="G74" s="2"/>
    </row>
    <row r="75" spans="1:7" x14ac:dyDescent="0.35">
      <c r="A75" s="2"/>
      <c r="B75" s="2"/>
      <c r="C75" s="2"/>
      <c r="D75" s="2"/>
      <c r="E75" s="2"/>
      <c r="F75" s="2"/>
      <c r="G75" s="2"/>
    </row>
    <row r="76" spans="1:7" x14ac:dyDescent="0.35">
      <c r="A76" s="2"/>
      <c r="B76" s="2"/>
      <c r="C76" s="2"/>
      <c r="D76" s="2"/>
      <c r="E76" s="2"/>
      <c r="F76" s="2"/>
      <c r="G76" s="2"/>
    </row>
    <row r="77" spans="1:7" x14ac:dyDescent="0.35">
      <c r="A77" s="2"/>
      <c r="B77" s="2"/>
      <c r="C77" s="2"/>
      <c r="D77" s="2"/>
      <c r="E77" s="2"/>
      <c r="F77" s="2"/>
      <c r="G77" s="2"/>
    </row>
    <row r="78" spans="1:7" x14ac:dyDescent="0.35">
      <c r="A78" s="2"/>
      <c r="B78" s="2"/>
      <c r="C78" s="2"/>
      <c r="D78" s="2"/>
      <c r="E78" s="2"/>
      <c r="F78" s="2"/>
      <c r="G78" s="2"/>
    </row>
    <row r="79" spans="1:7" x14ac:dyDescent="0.35">
      <c r="A79" s="2"/>
      <c r="B79" s="2"/>
      <c r="C79" s="2"/>
      <c r="D79" s="2"/>
      <c r="E79" s="2"/>
      <c r="F79" s="2"/>
      <c r="G79" s="2"/>
    </row>
    <row r="80" spans="1:7" x14ac:dyDescent="0.35">
      <c r="A80" s="2"/>
      <c r="B80" s="2"/>
      <c r="C80" s="2"/>
      <c r="D80" s="2"/>
      <c r="E80" s="2"/>
      <c r="F80" s="2"/>
      <c r="G80" s="2"/>
    </row>
    <row r="81" spans="1:7" x14ac:dyDescent="0.35">
      <c r="A81" s="2"/>
      <c r="B81" s="2"/>
      <c r="C81" s="2"/>
      <c r="D81" s="2"/>
      <c r="E81" s="2"/>
      <c r="F81" s="2"/>
      <c r="G81" s="2"/>
    </row>
    <row r="82" spans="1:7" x14ac:dyDescent="0.35">
      <c r="A82" s="2"/>
      <c r="B82" s="2"/>
      <c r="C82" s="2"/>
      <c r="D82" s="2"/>
      <c r="E82" s="2"/>
      <c r="F82" s="2"/>
      <c r="G82" s="2"/>
    </row>
    <row r="83" spans="1:7" x14ac:dyDescent="0.35">
      <c r="A83" s="2"/>
      <c r="B83" s="2"/>
      <c r="C83" s="2"/>
      <c r="D83" s="2"/>
      <c r="E83" s="2"/>
      <c r="F83" s="2"/>
      <c r="G83" s="2"/>
    </row>
    <row r="84" spans="1:7" x14ac:dyDescent="0.35">
      <c r="A84" s="2"/>
      <c r="B84" s="2"/>
      <c r="C84" s="2"/>
      <c r="D84" s="2"/>
      <c r="E84" s="2"/>
      <c r="F84" s="2"/>
      <c r="G84" s="2"/>
    </row>
    <row r="85" spans="1:7" x14ac:dyDescent="0.35">
      <c r="A85" s="2"/>
      <c r="B85" s="2"/>
      <c r="C85" s="2"/>
      <c r="D85" s="2"/>
      <c r="E85" s="2"/>
      <c r="F85" s="2"/>
      <c r="G85" s="2"/>
    </row>
    <row r="86" spans="1:7" x14ac:dyDescent="0.35">
      <c r="A86" s="2"/>
      <c r="B86" s="2"/>
      <c r="C86" s="2"/>
      <c r="D86" s="2"/>
      <c r="E86" s="2"/>
      <c r="F86" s="2"/>
      <c r="G86" s="2"/>
    </row>
    <row r="87" spans="1:7" x14ac:dyDescent="0.35">
      <c r="A87" s="2"/>
      <c r="B87" s="2"/>
      <c r="C87" s="2"/>
      <c r="D87" s="2"/>
      <c r="E87" s="2"/>
      <c r="F87" s="2"/>
      <c r="G87" s="2"/>
    </row>
    <row r="88" spans="1:7" x14ac:dyDescent="0.35">
      <c r="A88" s="2"/>
      <c r="B88" s="2"/>
      <c r="C88" s="2"/>
      <c r="D88" s="2"/>
      <c r="E88" s="2"/>
      <c r="F88" s="2"/>
      <c r="G88" s="2"/>
    </row>
    <row r="89" spans="1:7" x14ac:dyDescent="0.35">
      <c r="A89" s="2"/>
      <c r="B89" s="2"/>
      <c r="C89" s="2"/>
      <c r="D89" s="2"/>
      <c r="E89" s="2"/>
      <c r="F89" s="2"/>
      <c r="G89" s="2"/>
    </row>
    <row r="90" spans="1:7" x14ac:dyDescent="0.35">
      <c r="A90" s="2"/>
      <c r="B90" s="2"/>
      <c r="C90" s="2"/>
      <c r="D90" s="2"/>
      <c r="E90" s="2"/>
      <c r="F90" s="2"/>
      <c r="G90" s="2"/>
    </row>
    <row r="91" spans="1:7" x14ac:dyDescent="0.35">
      <c r="A91" s="2"/>
      <c r="B91" s="2"/>
      <c r="C91" s="2"/>
      <c r="D91" s="2"/>
      <c r="E91" s="2"/>
      <c r="F91" s="2"/>
      <c r="G91" s="2"/>
    </row>
    <row r="92" spans="1:7" x14ac:dyDescent="0.35">
      <c r="A92" s="2"/>
      <c r="B92" s="2"/>
      <c r="C92" s="2"/>
      <c r="D92" s="2"/>
      <c r="E92" s="2"/>
      <c r="F92" s="2"/>
      <c r="G92" s="2"/>
    </row>
    <row r="93" spans="1:7" x14ac:dyDescent="0.35">
      <c r="A93" s="2"/>
      <c r="B93" s="2"/>
      <c r="C93" s="2"/>
      <c r="D93" s="2"/>
      <c r="E93" s="2"/>
      <c r="F93" s="2"/>
      <c r="G93" s="2"/>
    </row>
    <row r="94" spans="1:7" x14ac:dyDescent="0.35">
      <c r="A94" s="2"/>
      <c r="B94" s="2"/>
      <c r="C94" s="2"/>
      <c r="D94" s="2"/>
      <c r="E94" s="2"/>
      <c r="F94" s="2"/>
      <c r="G94" s="2"/>
    </row>
    <row r="95" spans="1:7" x14ac:dyDescent="0.35">
      <c r="A95" s="2"/>
      <c r="B95" s="2"/>
      <c r="C95" s="2"/>
      <c r="D95" s="2"/>
      <c r="E95" s="2"/>
      <c r="F95" s="2"/>
      <c r="G95" s="2"/>
    </row>
    <row r="96" spans="1:7" x14ac:dyDescent="0.35">
      <c r="A96" s="2"/>
      <c r="B96" s="2"/>
      <c r="C96" s="2"/>
      <c r="D96" s="2"/>
      <c r="E96" s="2"/>
      <c r="F96" s="2"/>
      <c r="G96" s="2"/>
    </row>
    <row r="97" spans="1:7" x14ac:dyDescent="0.35">
      <c r="A97" s="2"/>
      <c r="B97" s="2"/>
      <c r="C97" s="2"/>
      <c r="D97" s="2"/>
      <c r="E97" s="2"/>
      <c r="F97" s="2"/>
      <c r="G97" s="2"/>
    </row>
    <row r="98" spans="1:7" x14ac:dyDescent="0.35">
      <c r="A98" s="2"/>
      <c r="B98" s="2"/>
      <c r="C98" s="2"/>
      <c r="D98" s="2"/>
      <c r="E98" s="2"/>
      <c r="F98" s="2"/>
      <c r="G98" s="2"/>
    </row>
    <row r="99" spans="1:7" x14ac:dyDescent="0.35">
      <c r="A99" s="2"/>
      <c r="B99" s="2"/>
      <c r="C99" s="2"/>
      <c r="D99" s="2"/>
      <c r="E99" s="2"/>
      <c r="F99" s="2"/>
      <c r="G99" s="2"/>
    </row>
    <row r="100" spans="1:7" x14ac:dyDescent="0.35">
      <c r="A100" s="2"/>
      <c r="B100" s="2"/>
      <c r="C100" s="2"/>
      <c r="D100" s="2"/>
      <c r="E100" s="2"/>
      <c r="F100" s="2"/>
      <c r="G100" s="2"/>
    </row>
    <row r="101" spans="1:7" x14ac:dyDescent="0.35">
      <c r="A101" s="2"/>
      <c r="B101" s="2"/>
      <c r="C101" s="2"/>
      <c r="D101" s="2"/>
      <c r="E101" s="2"/>
      <c r="F101" s="2"/>
      <c r="G101" s="2"/>
    </row>
    <row r="102" spans="1:7" x14ac:dyDescent="0.35">
      <c r="A102" s="2"/>
      <c r="B102" s="2"/>
      <c r="C102" s="2"/>
      <c r="D102" s="2"/>
      <c r="E102" s="2"/>
      <c r="F102" s="2"/>
      <c r="G102" s="2"/>
    </row>
    <row r="103" spans="1:7" x14ac:dyDescent="0.35">
      <c r="A103" s="2"/>
      <c r="B103" s="2"/>
      <c r="C103" s="2"/>
      <c r="D103" s="2"/>
      <c r="E103" s="2"/>
      <c r="F103" s="2"/>
      <c r="G103" s="2"/>
    </row>
    <row r="104" spans="1:7" x14ac:dyDescent="0.35">
      <c r="A104" s="2"/>
      <c r="B104" s="2"/>
      <c r="C104" s="2"/>
      <c r="D104" s="2"/>
      <c r="E104" s="2"/>
      <c r="F104" s="2"/>
      <c r="G104" s="2"/>
    </row>
    <row r="105" spans="1:7" x14ac:dyDescent="0.35">
      <c r="A105" s="2"/>
      <c r="B105" s="2"/>
      <c r="C105" s="2"/>
      <c r="D105" s="2"/>
      <c r="E105" s="2"/>
      <c r="F105" s="2"/>
      <c r="G105" s="2"/>
    </row>
    <row r="106" spans="1:7" x14ac:dyDescent="0.35">
      <c r="A106" s="2"/>
      <c r="B106" s="2"/>
      <c r="C106" s="2"/>
      <c r="D106" s="2"/>
      <c r="E106" s="2"/>
      <c r="F106" s="2"/>
      <c r="G106" s="2"/>
    </row>
    <row r="107" spans="1:7" x14ac:dyDescent="0.35">
      <c r="A107" s="2"/>
      <c r="B107" s="2"/>
      <c r="C107" s="2"/>
      <c r="D107" s="2"/>
      <c r="E107" s="2"/>
      <c r="F107" s="2"/>
      <c r="G107" s="2"/>
    </row>
    <row r="108" spans="1:7" x14ac:dyDescent="0.35">
      <c r="A108" s="2"/>
      <c r="B108" s="2"/>
      <c r="C108" s="2"/>
      <c r="D108" s="2"/>
      <c r="E108" s="2"/>
      <c r="F108" s="2"/>
      <c r="G108" s="2"/>
    </row>
    <row r="109" spans="1:7" x14ac:dyDescent="0.35">
      <c r="A109" s="2"/>
      <c r="B109" s="2"/>
      <c r="C109" s="2"/>
      <c r="D109" s="2"/>
      <c r="E109" s="2"/>
      <c r="F109" s="2"/>
      <c r="G109" s="2"/>
    </row>
    <row r="110" spans="1:7" x14ac:dyDescent="0.35">
      <c r="A110" s="2"/>
      <c r="B110" s="2"/>
      <c r="C110" s="2"/>
      <c r="D110" s="2"/>
      <c r="E110" s="2"/>
      <c r="F110" s="2"/>
      <c r="G110" s="2"/>
    </row>
    <row r="111" spans="1:7" x14ac:dyDescent="0.35">
      <c r="A111" s="2"/>
      <c r="B111" s="2"/>
      <c r="C111" s="2"/>
      <c r="D111" s="2"/>
      <c r="E111" s="2"/>
      <c r="F111" s="2"/>
      <c r="G111" s="2"/>
    </row>
    <row r="112" spans="1:7" x14ac:dyDescent="0.35">
      <c r="A112" s="2"/>
      <c r="B112" s="2"/>
      <c r="C112" s="2"/>
      <c r="D112" s="2"/>
      <c r="E112" s="2"/>
      <c r="F112" s="2"/>
      <c r="G112" s="2"/>
    </row>
    <row r="113" spans="1:7" x14ac:dyDescent="0.35">
      <c r="A113" s="2"/>
      <c r="B113" s="2"/>
      <c r="C113" s="2"/>
      <c r="D113" s="2"/>
      <c r="E113" s="2"/>
      <c r="F113" s="2"/>
      <c r="G113" s="2"/>
    </row>
    <row r="114" spans="1:7" x14ac:dyDescent="0.35">
      <c r="A114" s="2"/>
      <c r="B114" s="2"/>
      <c r="C114" s="2"/>
      <c r="D114" s="2"/>
      <c r="E114" s="2"/>
      <c r="F114" s="2"/>
      <c r="G114" s="2"/>
    </row>
    <row r="115" spans="1:7" x14ac:dyDescent="0.35">
      <c r="A115" s="2"/>
      <c r="B115" s="2"/>
      <c r="C115" s="2"/>
      <c r="D115" s="2"/>
      <c r="E115" s="2"/>
      <c r="F115" s="2"/>
      <c r="G115" s="2"/>
    </row>
    <row r="116" spans="1:7" x14ac:dyDescent="0.35">
      <c r="A116" s="2"/>
      <c r="B116" s="2"/>
      <c r="C116" s="2"/>
      <c r="D116" s="2"/>
      <c r="E116" s="2"/>
      <c r="F116" s="2"/>
      <c r="G116" s="2"/>
    </row>
    <row r="117" spans="1:7" x14ac:dyDescent="0.35">
      <c r="A117" s="2"/>
      <c r="B117" s="2"/>
      <c r="C117" s="2"/>
      <c r="D117" s="2"/>
      <c r="E117" s="2"/>
      <c r="F117" s="2"/>
      <c r="G117" s="2"/>
    </row>
    <row r="118" spans="1:7" x14ac:dyDescent="0.35">
      <c r="A118" s="2"/>
      <c r="B118" s="2"/>
      <c r="C118" s="2"/>
      <c r="D118" s="2"/>
      <c r="E118" s="2"/>
      <c r="F118" s="2"/>
      <c r="G118" s="2"/>
    </row>
    <row r="119" spans="1:7" x14ac:dyDescent="0.35">
      <c r="A119" s="2"/>
      <c r="B119" s="2"/>
      <c r="C119" s="2"/>
      <c r="D119" s="2"/>
      <c r="E119" s="2"/>
      <c r="F119" s="2"/>
      <c r="G119" s="2"/>
    </row>
    <row r="120" spans="1:7" x14ac:dyDescent="0.35">
      <c r="A120" s="2"/>
      <c r="B120" s="2"/>
      <c r="C120" s="2"/>
      <c r="D120" s="2"/>
      <c r="E120" s="2"/>
      <c r="F120" s="2"/>
      <c r="G120" s="2"/>
    </row>
    <row r="121" spans="1:7" x14ac:dyDescent="0.35">
      <c r="A121" s="2"/>
      <c r="B121" s="2"/>
      <c r="C121" s="2"/>
      <c r="D121" s="2"/>
      <c r="E121" s="2"/>
      <c r="F121" s="2"/>
      <c r="G121" s="2"/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1" sqref="F21"/>
    </sheetView>
  </sheetViews>
  <sheetFormatPr defaultColWidth="8.6328125" defaultRowHeight="14.5" x14ac:dyDescent="0.35"/>
  <cols>
    <col min="1" max="1" width="11" customWidth="1"/>
    <col min="2" max="2" width="12" customWidth="1"/>
    <col min="3" max="3" width="9.90625" customWidth="1"/>
    <col min="4" max="4" width="12" customWidth="1"/>
    <col min="5" max="5" width="9.90625" customWidth="1"/>
    <col min="6" max="6" width="12" customWidth="1"/>
  </cols>
  <sheetData>
    <row r="1" spans="1:6" x14ac:dyDescent="0.35">
      <c r="A1" s="1" t="s">
        <v>0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6</v>
      </c>
    </row>
    <row r="2" spans="1:6" x14ac:dyDescent="0.35">
      <c r="A2" s="2">
        <v>343310</v>
      </c>
      <c r="B2" s="2">
        <v>1</v>
      </c>
      <c r="C2" s="2">
        <v>36.799999999999997</v>
      </c>
      <c r="D2" s="2">
        <v>4.5</v>
      </c>
      <c r="E2" s="2">
        <v>88.752799999999993</v>
      </c>
      <c r="F2" s="2">
        <v>200.2</v>
      </c>
    </row>
    <row r="3" spans="1:6" x14ac:dyDescent="0.35">
      <c r="A3" s="2">
        <v>343310</v>
      </c>
      <c r="B3" s="2">
        <v>2</v>
      </c>
      <c r="C3" s="2">
        <v>35.700000000000003</v>
      </c>
      <c r="D3" s="2">
        <v>5.7</v>
      </c>
      <c r="E3" s="2">
        <v>89.340900000000005</v>
      </c>
      <c r="F3" s="2">
        <v>200.1</v>
      </c>
    </row>
    <row r="4" spans="1:6" x14ac:dyDescent="0.35">
      <c r="A4" s="2">
        <v>343310</v>
      </c>
      <c r="B4" s="2">
        <v>3</v>
      </c>
      <c r="C4" s="2">
        <v>37.700000000000003</v>
      </c>
      <c r="D4" s="2">
        <v>8.8000000000000007</v>
      </c>
      <c r="E4" s="2">
        <v>89.010099999999994</v>
      </c>
      <c r="F4" s="2">
        <v>200</v>
      </c>
    </row>
    <row r="5" spans="1:6" x14ac:dyDescent="0.35">
      <c r="A5" s="2">
        <v>343310</v>
      </c>
      <c r="B5" s="2">
        <v>4</v>
      </c>
      <c r="C5" s="2">
        <v>38</v>
      </c>
      <c r="D5" s="2">
        <v>10.8</v>
      </c>
      <c r="E5" s="2">
        <v>89.1798</v>
      </c>
      <c r="F5" s="2">
        <v>77.599999999999994</v>
      </c>
    </row>
    <row r="6" spans="1:6" x14ac:dyDescent="0.35">
      <c r="A6" s="2">
        <v>343310</v>
      </c>
      <c r="B6" s="2">
        <v>5</v>
      </c>
      <c r="C6" s="2">
        <v>37.700000000000003</v>
      </c>
      <c r="D6" s="2">
        <v>5.5</v>
      </c>
      <c r="E6" s="2">
        <v>88.812399999999997</v>
      </c>
      <c r="F6" s="2">
        <v>200.3</v>
      </c>
    </row>
    <row r="7" spans="1:6" x14ac:dyDescent="0.35">
      <c r="A7" s="2">
        <v>293874</v>
      </c>
      <c r="B7" s="2">
        <v>1</v>
      </c>
      <c r="C7" s="2">
        <v>35.4</v>
      </c>
      <c r="D7" s="2">
        <v>3.6</v>
      </c>
      <c r="E7" s="2">
        <v>88.993700000000004</v>
      </c>
      <c r="F7" s="2">
        <v>164.5</v>
      </c>
    </row>
    <row r="8" spans="1:6" x14ac:dyDescent="0.35">
      <c r="A8" s="2">
        <v>293874</v>
      </c>
      <c r="B8" s="2">
        <v>2</v>
      </c>
      <c r="C8" s="2">
        <v>37.6</v>
      </c>
      <c r="D8" s="2">
        <v>4.5</v>
      </c>
      <c r="E8" s="2">
        <v>89.149299999999997</v>
      </c>
      <c r="F8" s="2">
        <v>102.6</v>
      </c>
    </row>
    <row r="9" spans="1:6" x14ac:dyDescent="0.35">
      <c r="A9" s="2">
        <v>293874</v>
      </c>
      <c r="B9" s="2">
        <v>3</v>
      </c>
      <c r="C9" s="2">
        <v>38</v>
      </c>
      <c r="D9" s="2">
        <v>3.3</v>
      </c>
      <c r="E9" s="2">
        <v>88.984399999999994</v>
      </c>
      <c r="F9" s="2">
        <v>113.2</v>
      </c>
    </row>
    <row r="10" spans="1:6" x14ac:dyDescent="0.35">
      <c r="A10" s="2">
        <v>293874</v>
      </c>
      <c r="B10" s="2">
        <v>4</v>
      </c>
      <c r="C10" s="2">
        <v>38.299999999999997</v>
      </c>
      <c r="D10" s="2">
        <v>5.0999999999999996</v>
      </c>
      <c r="E10" s="2">
        <v>88.644900000000007</v>
      </c>
      <c r="F10" s="2">
        <v>134.19999999999999</v>
      </c>
    </row>
    <row r="11" spans="1:6" x14ac:dyDescent="0.35">
      <c r="A11" s="2">
        <v>293874</v>
      </c>
      <c r="B11" s="2">
        <v>5</v>
      </c>
      <c r="C11" s="2">
        <v>37.1</v>
      </c>
      <c r="D11" s="2">
        <v>2.7</v>
      </c>
      <c r="E11" s="2">
        <v>88.426500000000004</v>
      </c>
      <c r="F11" s="2">
        <v>194.5</v>
      </c>
    </row>
    <row r="12" spans="1:6" x14ac:dyDescent="0.35">
      <c r="A12" s="2">
        <v>789124</v>
      </c>
      <c r="B12" s="2">
        <v>1</v>
      </c>
      <c r="C12" s="2">
        <v>35.299999999999997</v>
      </c>
      <c r="D12" s="2">
        <v>5</v>
      </c>
      <c r="E12" s="2">
        <v>80.173500000000004</v>
      </c>
      <c r="F12" s="2">
        <v>194.1</v>
      </c>
    </row>
    <row r="13" spans="1:6" x14ac:dyDescent="0.35">
      <c r="A13" s="2">
        <v>789124</v>
      </c>
      <c r="B13" s="2">
        <v>2</v>
      </c>
      <c r="C13" s="2">
        <v>36.700000000000003</v>
      </c>
      <c r="D13" s="2">
        <v>3.5</v>
      </c>
      <c r="E13" s="2">
        <v>79.833299999999994</v>
      </c>
      <c r="F13" s="2">
        <v>158.30000000000001</v>
      </c>
    </row>
    <row r="14" spans="1:6" x14ac:dyDescent="0.35">
      <c r="A14" s="2">
        <v>789124</v>
      </c>
      <c r="B14" s="2">
        <v>3</v>
      </c>
      <c r="C14" s="2">
        <v>37.4</v>
      </c>
      <c r="D14" s="2">
        <v>4.4000000000000004</v>
      </c>
      <c r="E14" s="2">
        <v>79.975499999999997</v>
      </c>
      <c r="F14" s="2">
        <v>200.1</v>
      </c>
    </row>
    <row r="15" spans="1:6" x14ac:dyDescent="0.35">
      <c r="A15" s="2">
        <v>789124</v>
      </c>
      <c r="B15" s="2">
        <v>4</v>
      </c>
      <c r="C15" s="2">
        <v>33.5</v>
      </c>
      <c r="D15" s="2">
        <v>7.4</v>
      </c>
      <c r="E15" s="2">
        <v>80.259100000000004</v>
      </c>
      <c r="F15" s="2">
        <v>200.2</v>
      </c>
    </row>
    <row r="16" spans="1:6" x14ac:dyDescent="0.35">
      <c r="A16" s="2">
        <v>789124</v>
      </c>
      <c r="B16" s="2">
        <v>5</v>
      </c>
      <c r="C16" s="2">
        <v>36.4</v>
      </c>
      <c r="D16" s="2">
        <v>3.4</v>
      </c>
      <c r="E16" s="2">
        <v>79.460099999999997</v>
      </c>
      <c r="F16" s="2">
        <v>121.2</v>
      </c>
    </row>
    <row r="17" spans="1:6" x14ac:dyDescent="0.35">
      <c r="A17" s="2">
        <v>987034</v>
      </c>
      <c r="B17" s="2">
        <v>1</v>
      </c>
      <c r="C17" s="2">
        <v>32.4</v>
      </c>
      <c r="D17" s="2">
        <v>3.6</v>
      </c>
      <c r="E17" s="2">
        <v>80.589100000000002</v>
      </c>
      <c r="F17" s="2">
        <v>200.4</v>
      </c>
    </row>
    <row r="18" spans="1:6" x14ac:dyDescent="0.35">
      <c r="A18" s="2">
        <v>987034</v>
      </c>
      <c r="B18" s="2">
        <v>2</v>
      </c>
      <c r="C18" s="2">
        <v>34.1</v>
      </c>
      <c r="D18" s="2">
        <v>4.5999999999999996</v>
      </c>
      <c r="E18" s="2">
        <v>80.700400000000002</v>
      </c>
      <c r="F18" s="2">
        <v>122.8</v>
      </c>
    </row>
    <row r="19" spans="1:6" x14ac:dyDescent="0.35">
      <c r="A19" s="2">
        <v>987034</v>
      </c>
      <c r="B19" s="2">
        <v>3</v>
      </c>
      <c r="C19" s="2">
        <v>33.6</v>
      </c>
      <c r="D19" s="2">
        <v>4.8</v>
      </c>
      <c r="E19" s="2">
        <v>80.791300000000007</v>
      </c>
      <c r="F19" s="2">
        <v>110.3</v>
      </c>
    </row>
    <row r="20" spans="1:6" x14ac:dyDescent="0.35">
      <c r="A20" s="2">
        <v>987034</v>
      </c>
      <c r="B20" s="2">
        <v>4</v>
      </c>
      <c r="C20" s="2">
        <v>33.700000000000003</v>
      </c>
      <c r="D20" s="2">
        <v>3.4</v>
      </c>
      <c r="E20" s="2">
        <v>80.637200000000007</v>
      </c>
      <c r="F20" s="2">
        <v>86.3</v>
      </c>
    </row>
    <row r="21" spans="1:6" x14ac:dyDescent="0.35">
      <c r="A21" s="2">
        <v>987034</v>
      </c>
      <c r="B21" s="2">
        <v>5</v>
      </c>
      <c r="C21" s="2">
        <v>36.5</v>
      </c>
      <c r="D21" s="2">
        <v>3.3</v>
      </c>
      <c r="E21" s="2">
        <v>80.332800000000006</v>
      </c>
      <c r="F21" s="2">
        <v>80.5</v>
      </c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  <row r="36" spans="1:6" x14ac:dyDescent="0.35">
      <c r="A36" s="2"/>
      <c r="B36" s="2"/>
      <c r="C36" s="2"/>
      <c r="D36" s="2"/>
      <c r="E36" s="2"/>
      <c r="F36" s="2"/>
    </row>
    <row r="37" spans="1:6" x14ac:dyDescent="0.35">
      <c r="A37" s="2"/>
      <c r="B37" s="2"/>
      <c r="C37" s="2"/>
      <c r="D37" s="2"/>
      <c r="E37" s="2"/>
      <c r="F37" s="2"/>
    </row>
    <row r="38" spans="1:6" x14ac:dyDescent="0.35">
      <c r="A38" s="2"/>
      <c r="B38" s="2"/>
      <c r="C38" s="2"/>
      <c r="D38" s="2"/>
      <c r="E38" s="2"/>
      <c r="F38" s="2"/>
    </row>
    <row r="39" spans="1:6" x14ac:dyDescent="0.35">
      <c r="A39" s="2"/>
      <c r="B39" s="2"/>
      <c r="C39" s="2"/>
      <c r="D39" s="2"/>
      <c r="E39" s="2"/>
      <c r="F39" s="2"/>
    </row>
    <row r="40" spans="1:6" x14ac:dyDescent="0.35">
      <c r="A40" s="2"/>
      <c r="B40" s="2"/>
      <c r="C40" s="2"/>
      <c r="D40" s="2"/>
      <c r="E40" s="2"/>
      <c r="F40" s="2"/>
    </row>
    <row r="41" spans="1:6" x14ac:dyDescent="0.35">
      <c r="A41" s="2"/>
      <c r="B41" s="2"/>
      <c r="C41" s="2"/>
      <c r="D41" s="2"/>
      <c r="E41" s="2"/>
      <c r="F41" s="2"/>
    </row>
    <row r="42" spans="1:6" x14ac:dyDescent="0.35">
      <c r="A42" s="2"/>
      <c r="B42" s="2"/>
      <c r="C42" s="2"/>
      <c r="D42" s="2"/>
      <c r="E42" s="2"/>
      <c r="F42" s="2"/>
    </row>
    <row r="43" spans="1:6" x14ac:dyDescent="0.35">
      <c r="A43" s="2"/>
      <c r="B43" s="2"/>
      <c r="C43" s="2"/>
      <c r="D43" s="2"/>
      <c r="E43" s="2"/>
      <c r="F43" s="2"/>
    </row>
    <row r="44" spans="1:6" x14ac:dyDescent="0.35">
      <c r="A44" s="2"/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  <row r="46" spans="1:6" x14ac:dyDescent="0.35">
      <c r="A46" s="2"/>
      <c r="B46" s="2"/>
      <c r="C46" s="2"/>
      <c r="D46" s="2"/>
      <c r="E46" s="2"/>
      <c r="F46" s="2"/>
    </row>
    <row r="47" spans="1:6" x14ac:dyDescent="0.35">
      <c r="A47" s="2"/>
      <c r="B47" s="2"/>
      <c r="C47" s="2"/>
      <c r="D47" s="2"/>
      <c r="E47" s="2"/>
      <c r="F47" s="2"/>
    </row>
    <row r="48" spans="1:6" x14ac:dyDescent="0.35">
      <c r="A48" s="2"/>
      <c r="B48" s="2"/>
      <c r="C48" s="2"/>
      <c r="D48" s="2"/>
      <c r="E48" s="2"/>
      <c r="F48" s="2"/>
    </row>
    <row r="49" spans="1:6" x14ac:dyDescent="0.35">
      <c r="A49" s="2"/>
      <c r="B49" s="2"/>
      <c r="C49" s="2"/>
      <c r="D49" s="2"/>
      <c r="E49" s="2"/>
      <c r="F49" s="2"/>
    </row>
    <row r="50" spans="1:6" x14ac:dyDescent="0.35">
      <c r="A50" s="2"/>
      <c r="B50" s="2"/>
      <c r="C50" s="2"/>
      <c r="D50" s="2"/>
      <c r="E50" s="2"/>
      <c r="F50" s="2"/>
    </row>
    <row r="51" spans="1:6" x14ac:dyDescent="0.35">
      <c r="A51" s="2"/>
      <c r="B51" s="2"/>
      <c r="C51" s="2"/>
      <c r="D51" s="2"/>
      <c r="E51" s="2"/>
      <c r="F51" s="2"/>
    </row>
    <row r="52" spans="1:6" x14ac:dyDescent="0.35">
      <c r="A52" s="2"/>
      <c r="B52" s="2"/>
      <c r="C52" s="2"/>
      <c r="D52" s="2"/>
      <c r="E52" s="2"/>
      <c r="F52" s="2"/>
    </row>
    <row r="53" spans="1:6" x14ac:dyDescent="0.35">
      <c r="A53" s="2"/>
      <c r="B53" s="2"/>
      <c r="C53" s="2"/>
      <c r="D53" s="2"/>
      <c r="E53" s="2"/>
      <c r="F53" s="2"/>
    </row>
    <row r="54" spans="1:6" x14ac:dyDescent="0.35">
      <c r="A54" s="2"/>
      <c r="B54" s="2"/>
      <c r="C54" s="2"/>
      <c r="D54" s="2"/>
      <c r="E54" s="2"/>
      <c r="F54" s="2"/>
    </row>
    <row r="55" spans="1:6" x14ac:dyDescent="0.35">
      <c r="A55" s="2"/>
      <c r="B55" s="2"/>
      <c r="C55" s="2"/>
      <c r="D55" s="2"/>
      <c r="E55" s="2"/>
      <c r="F55" s="2"/>
    </row>
    <row r="56" spans="1:6" x14ac:dyDescent="0.35">
      <c r="A56" s="2"/>
      <c r="B56" s="2"/>
      <c r="C56" s="2"/>
      <c r="D56" s="2"/>
      <c r="E56" s="2"/>
      <c r="F56" s="2"/>
    </row>
    <row r="57" spans="1:6" x14ac:dyDescent="0.35">
      <c r="A57" s="2"/>
      <c r="B57" s="2"/>
      <c r="C57" s="2"/>
      <c r="D57" s="2"/>
      <c r="E57" s="2"/>
      <c r="F57" s="2"/>
    </row>
    <row r="58" spans="1:6" x14ac:dyDescent="0.35">
      <c r="A58" s="2"/>
      <c r="B58" s="2"/>
      <c r="C58" s="2"/>
      <c r="D58" s="2"/>
      <c r="E58" s="2"/>
      <c r="F58" s="2"/>
    </row>
    <row r="59" spans="1:6" x14ac:dyDescent="0.35">
      <c r="A59" s="2"/>
      <c r="B59" s="2"/>
      <c r="C59" s="2"/>
      <c r="D59" s="2"/>
      <c r="E59" s="2"/>
      <c r="F59" s="2"/>
    </row>
    <row r="60" spans="1:6" x14ac:dyDescent="0.35">
      <c r="A60" s="2"/>
      <c r="B60" s="2"/>
      <c r="C60" s="2"/>
      <c r="D60" s="2"/>
      <c r="E60" s="2"/>
      <c r="F60" s="2"/>
    </row>
    <row r="61" spans="1:6" x14ac:dyDescent="0.35">
      <c r="A61" s="2"/>
      <c r="B61" s="2"/>
      <c r="C61" s="2"/>
      <c r="D61" s="2"/>
      <c r="E61" s="2"/>
      <c r="F61" s="2"/>
    </row>
    <row r="62" spans="1:6" x14ac:dyDescent="0.35">
      <c r="A62" s="2"/>
      <c r="B62" s="2"/>
      <c r="C62" s="2"/>
      <c r="D62" s="2"/>
      <c r="E62" s="2"/>
      <c r="F62" s="2"/>
    </row>
    <row r="63" spans="1:6" x14ac:dyDescent="0.35">
      <c r="A63" s="2"/>
      <c r="B63" s="2"/>
      <c r="C63" s="2"/>
      <c r="D63" s="2"/>
      <c r="E63" s="2"/>
      <c r="F63" s="2"/>
    </row>
    <row r="64" spans="1:6" x14ac:dyDescent="0.35">
      <c r="A64" s="2"/>
      <c r="B64" s="2"/>
      <c r="C64" s="2"/>
      <c r="D64" s="2"/>
      <c r="E64" s="2"/>
      <c r="F64" s="2"/>
    </row>
    <row r="65" spans="1:6" x14ac:dyDescent="0.35">
      <c r="A65" s="2"/>
      <c r="B65" s="2"/>
      <c r="C65" s="2"/>
      <c r="D65" s="2"/>
      <c r="E65" s="2"/>
      <c r="F65" s="2"/>
    </row>
    <row r="66" spans="1:6" x14ac:dyDescent="0.35">
      <c r="A66" s="2"/>
      <c r="B66" s="2"/>
      <c r="C66" s="2"/>
      <c r="D66" s="2"/>
      <c r="E66" s="2"/>
      <c r="F66" s="2"/>
    </row>
    <row r="67" spans="1:6" x14ac:dyDescent="0.35">
      <c r="A67" s="2"/>
      <c r="B67" s="2"/>
      <c r="C67" s="2"/>
      <c r="D67" s="2"/>
      <c r="E67" s="2"/>
      <c r="F67" s="2"/>
    </row>
    <row r="68" spans="1:6" x14ac:dyDescent="0.35">
      <c r="A68" s="2"/>
      <c r="B68" s="2"/>
      <c r="C68" s="2"/>
      <c r="D68" s="2"/>
      <c r="E68" s="2"/>
      <c r="F68" s="2"/>
    </row>
    <row r="69" spans="1:6" x14ac:dyDescent="0.35">
      <c r="A69" s="2"/>
      <c r="B69" s="2"/>
      <c r="C69" s="2"/>
      <c r="D69" s="2"/>
      <c r="E69" s="2"/>
      <c r="F69" s="2"/>
    </row>
    <row r="70" spans="1:6" x14ac:dyDescent="0.35">
      <c r="A70" s="2"/>
      <c r="B70" s="2"/>
      <c r="C70" s="2"/>
      <c r="D70" s="2"/>
      <c r="E70" s="2"/>
      <c r="F70" s="2"/>
    </row>
    <row r="71" spans="1:6" x14ac:dyDescent="0.35">
      <c r="A71" s="2"/>
      <c r="B71" s="2"/>
      <c r="C71" s="2"/>
      <c r="D71" s="2"/>
      <c r="E71" s="2"/>
      <c r="F71" s="2"/>
    </row>
    <row r="72" spans="1:6" x14ac:dyDescent="0.35">
      <c r="A72" s="2"/>
      <c r="B72" s="2"/>
      <c r="C72" s="2"/>
      <c r="D72" s="2"/>
      <c r="E72" s="2"/>
      <c r="F72" s="2"/>
    </row>
    <row r="73" spans="1:6" x14ac:dyDescent="0.35">
      <c r="A73" s="2"/>
      <c r="B73" s="2"/>
      <c r="C73" s="2"/>
      <c r="D73" s="2"/>
      <c r="E73" s="2"/>
      <c r="F73" s="2"/>
    </row>
    <row r="74" spans="1:6" x14ac:dyDescent="0.35">
      <c r="A74" s="2"/>
      <c r="B74" s="2"/>
      <c r="C74" s="2"/>
      <c r="D74" s="2"/>
      <c r="E74" s="2"/>
      <c r="F74" s="2"/>
    </row>
    <row r="75" spans="1:6" x14ac:dyDescent="0.35">
      <c r="A75" s="2"/>
      <c r="B75" s="2"/>
      <c r="C75" s="2"/>
      <c r="D75" s="2"/>
      <c r="E75" s="2"/>
      <c r="F75" s="2"/>
    </row>
    <row r="76" spans="1:6" x14ac:dyDescent="0.35">
      <c r="A76" s="2"/>
      <c r="B76" s="2"/>
      <c r="C76" s="2"/>
      <c r="D76" s="2"/>
      <c r="E76" s="2"/>
      <c r="F76" s="2"/>
    </row>
    <row r="77" spans="1:6" x14ac:dyDescent="0.35">
      <c r="A77" s="2"/>
      <c r="B77" s="2"/>
      <c r="C77" s="2"/>
      <c r="D77" s="2"/>
      <c r="E77" s="2"/>
      <c r="F77" s="2"/>
    </row>
    <row r="78" spans="1:6" x14ac:dyDescent="0.35">
      <c r="A78" s="2"/>
      <c r="B78" s="2"/>
      <c r="C78" s="2"/>
      <c r="D78" s="2"/>
      <c r="E78" s="2"/>
      <c r="F78" s="2"/>
    </row>
    <row r="79" spans="1:6" x14ac:dyDescent="0.35">
      <c r="A79" s="2"/>
      <c r="B79" s="2"/>
      <c r="C79" s="2"/>
      <c r="D79" s="2"/>
      <c r="E79" s="2"/>
      <c r="F79" s="2"/>
    </row>
    <row r="80" spans="1:6" x14ac:dyDescent="0.35">
      <c r="A80" s="2"/>
      <c r="B80" s="2"/>
      <c r="C80" s="2"/>
      <c r="D80" s="2"/>
      <c r="E80" s="2"/>
      <c r="F80" s="2"/>
    </row>
    <row r="81" spans="1:6" x14ac:dyDescent="0.35">
      <c r="A81" s="2"/>
      <c r="B81" s="2"/>
      <c r="C81" s="2"/>
      <c r="D81" s="2"/>
      <c r="E81" s="2"/>
      <c r="F81" s="2"/>
    </row>
    <row r="82" spans="1:6" x14ac:dyDescent="0.35">
      <c r="A82" s="2"/>
      <c r="B82" s="2"/>
      <c r="C82" s="2"/>
      <c r="D82" s="2"/>
      <c r="E82" s="2"/>
      <c r="F82" s="2"/>
    </row>
    <row r="83" spans="1:6" x14ac:dyDescent="0.35">
      <c r="A83" s="2"/>
      <c r="B83" s="2"/>
      <c r="C83" s="2"/>
      <c r="D83" s="2"/>
      <c r="E83" s="2"/>
      <c r="F83" s="2"/>
    </row>
    <row r="84" spans="1:6" x14ac:dyDescent="0.35">
      <c r="A84" s="2"/>
      <c r="B84" s="2"/>
      <c r="C84" s="2"/>
      <c r="D84" s="2"/>
      <c r="E84" s="2"/>
      <c r="F84" s="2"/>
    </row>
    <row r="85" spans="1:6" x14ac:dyDescent="0.35">
      <c r="A85" s="2"/>
      <c r="B85" s="2"/>
      <c r="C85" s="2"/>
      <c r="D85" s="2"/>
      <c r="E85" s="2"/>
      <c r="F85" s="2"/>
    </row>
    <row r="86" spans="1:6" x14ac:dyDescent="0.35">
      <c r="A86" s="2"/>
      <c r="B86" s="2"/>
      <c r="C86" s="2"/>
      <c r="D86" s="2"/>
      <c r="E86" s="2"/>
      <c r="F86" s="2"/>
    </row>
    <row r="87" spans="1:6" x14ac:dyDescent="0.35">
      <c r="A87" s="2"/>
      <c r="B87" s="2"/>
      <c r="C87" s="2"/>
      <c r="D87" s="2"/>
      <c r="E87" s="2"/>
      <c r="F87" s="2"/>
    </row>
    <row r="88" spans="1:6" x14ac:dyDescent="0.35">
      <c r="A88" s="2"/>
      <c r="B88" s="2"/>
      <c r="C88" s="2"/>
      <c r="D88" s="2"/>
      <c r="E88" s="2"/>
      <c r="F88" s="2"/>
    </row>
    <row r="89" spans="1:6" x14ac:dyDescent="0.35">
      <c r="A89" s="2"/>
      <c r="B89" s="2"/>
      <c r="C89" s="2"/>
      <c r="D89" s="2"/>
      <c r="E89" s="2"/>
      <c r="F89" s="2"/>
    </row>
    <row r="90" spans="1:6" x14ac:dyDescent="0.35">
      <c r="A90" s="2"/>
      <c r="B90" s="2"/>
      <c r="C90" s="2"/>
      <c r="D90" s="2"/>
      <c r="E90" s="2"/>
      <c r="F90" s="2"/>
    </row>
    <row r="91" spans="1:6" x14ac:dyDescent="0.35">
      <c r="A91" s="2"/>
      <c r="B91" s="2"/>
      <c r="C91" s="2"/>
      <c r="D91" s="2"/>
      <c r="E91" s="2"/>
      <c r="F91" s="2"/>
    </row>
    <row r="92" spans="1:6" x14ac:dyDescent="0.35">
      <c r="A92" s="2"/>
      <c r="B92" s="2"/>
      <c r="C92" s="2"/>
      <c r="D92" s="2"/>
      <c r="E92" s="2"/>
      <c r="F92" s="2"/>
    </row>
    <row r="93" spans="1:6" x14ac:dyDescent="0.35">
      <c r="A93" s="2"/>
      <c r="B93" s="2"/>
      <c r="C93" s="2"/>
      <c r="D93" s="2"/>
      <c r="E93" s="2"/>
      <c r="F93" s="2"/>
    </row>
    <row r="94" spans="1:6" x14ac:dyDescent="0.35">
      <c r="A94" s="2"/>
      <c r="B94" s="2"/>
      <c r="C94" s="2"/>
      <c r="D94" s="2"/>
      <c r="E94" s="2"/>
      <c r="F94" s="2"/>
    </row>
    <row r="95" spans="1:6" x14ac:dyDescent="0.35">
      <c r="A95" s="2"/>
      <c r="B95" s="2"/>
      <c r="C95" s="2"/>
      <c r="D95" s="2"/>
      <c r="E95" s="2"/>
      <c r="F95" s="2"/>
    </row>
    <row r="96" spans="1:6" x14ac:dyDescent="0.35">
      <c r="A96" s="2"/>
      <c r="B96" s="2"/>
      <c r="C96" s="2"/>
      <c r="D96" s="2"/>
      <c r="E96" s="2"/>
      <c r="F96" s="2"/>
    </row>
    <row r="97" spans="1:6" x14ac:dyDescent="0.35">
      <c r="A97" s="2"/>
      <c r="B97" s="2"/>
      <c r="C97" s="2"/>
      <c r="D97" s="2"/>
      <c r="E97" s="2"/>
      <c r="F97" s="2"/>
    </row>
    <row r="98" spans="1:6" x14ac:dyDescent="0.35">
      <c r="A98" s="2"/>
      <c r="B98" s="2"/>
      <c r="C98" s="2"/>
      <c r="D98" s="2"/>
      <c r="E98" s="2"/>
      <c r="F98" s="2"/>
    </row>
    <row r="99" spans="1:6" x14ac:dyDescent="0.35">
      <c r="A99" s="2"/>
      <c r="B99" s="2"/>
      <c r="C99" s="2"/>
      <c r="D99" s="2"/>
      <c r="E99" s="2"/>
      <c r="F99" s="2"/>
    </row>
    <row r="100" spans="1:6" x14ac:dyDescent="0.35">
      <c r="A100" s="2"/>
      <c r="B100" s="2"/>
      <c r="C100" s="2"/>
      <c r="D100" s="2"/>
      <c r="E100" s="2"/>
      <c r="F100" s="2"/>
    </row>
    <row r="101" spans="1:6" x14ac:dyDescent="0.35">
      <c r="A101" s="2"/>
      <c r="B101" s="2"/>
      <c r="C101" s="2"/>
      <c r="D101" s="2"/>
      <c r="E101" s="2"/>
      <c r="F101" s="2"/>
    </row>
    <row r="102" spans="1:6" x14ac:dyDescent="0.35">
      <c r="A102" s="2"/>
      <c r="B102" s="2"/>
      <c r="C102" s="2"/>
      <c r="D102" s="2"/>
      <c r="E102" s="2"/>
      <c r="F102" s="2"/>
    </row>
    <row r="103" spans="1:6" x14ac:dyDescent="0.35">
      <c r="A103" s="2"/>
      <c r="B103" s="2"/>
      <c r="C103" s="2"/>
      <c r="D103" s="2"/>
      <c r="E103" s="2"/>
      <c r="F103" s="2"/>
    </row>
    <row r="104" spans="1:6" x14ac:dyDescent="0.35">
      <c r="A104" s="2"/>
      <c r="B104" s="2"/>
      <c r="C104" s="2"/>
      <c r="D104" s="2"/>
      <c r="E104" s="2"/>
      <c r="F104" s="2"/>
    </row>
    <row r="105" spans="1:6" x14ac:dyDescent="0.35">
      <c r="A105" s="2"/>
      <c r="B105" s="2"/>
      <c r="C105" s="2"/>
      <c r="D105" s="2"/>
      <c r="E105" s="2"/>
      <c r="F105" s="2"/>
    </row>
    <row r="106" spans="1:6" x14ac:dyDescent="0.35">
      <c r="A106" s="2"/>
      <c r="B106" s="2"/>
      <c r="C106" s="2"/>
      <c r="D106" s="2"/>
      <c r="E106" s="2"/>
      <c r="F106" s="2"/>
    </row>
    <row r="107" spans="1:6" x14ac:dyDescent="0.35">
      <c r="A107" s="2"/>
      <c r="B107" s="2"/>
      <c r="C107" s="2"/>
      <c r="D107" s="2"/>
      <c r="E107" s="2"/>
      <c r="F107" s="2"/>
    </row>
    <row r="108" spans="1:6" x14ac:dyDescent="0.35">
      <c r="A108" s="2"/>
      <c r="B108" s="2"/>
      <c r="C108" s="2"/>
      <c r="D108" s="2"/>
      <c r="E108" s="2"/>
      <c r="F108" s="2"/>
    </row>
    <row r="109" spans="1:6" x14ac:dyDescent="0.35">
      <c r="A109" s="2"/>
      <c r="B109" s="2"/>
      <c r="C109" s="2"/>
      <c r="D109" s="2"/>
      <c r="E109" s="2"/>
      <c r="F109" s="2"/>
    </row>
    <row r="110" spans="1:6" x14ac:dyDescent="0.35">
      <c r="A110" s="2"/>
      <c r="B110" s="2"/>
      <c r="C110" s="2"/>
      <c r="D110" s="2"/>
      <c r="E110" s="2"/>
      <c r="F110" s="2"/>
    </row>
    <row r="111" spans="1:6" x14ac:dyDescent="0.35">
      <c r="A111" s="2"/>
      <c r="B111" s="2"/>
      <c r="C111" s="2"/>
      <c r="D111" s="2"/>
      <c r="E111" s="2"/>
      <c r="F111" s="2"/>
    </row>
    <row r="112" spans="1:6" x14ac:dyDescent="0.35">
      <c r="A112" s="2"/>
      <c r="B112" s="2"/>
      <c r="C112" s="2"/>
      <c r="D112" s="2"/>
      <c r="E112" s="2"/>
      <c r="F112" s="2"/>
    </row>
    <row r="113" spans="1:6" x14ac:dyDescent="0.35">
      <c r="A113" s="2"/>
      <c r="B113" s="2"/>
      <c r="C113" s="2"/>
      <c r="D113" s="2"/>
      <c r="E113" s="2"/>
      <c r="F113" s="2"/>
    </row>
    <row r="114" spans="1:6" x14ac:dyDescent="0.35">
      <c r="A114" s="2"/>
      <c r="B114" s="2"/>
      <c r="C114" s="2"/>
      <c r="D114" s="2"/>
      <c r="E114" s="2"/>
      <c r="F114" s="2"/>
    </row>
    <row r="115" spans="1:6" x14ac:dyDescent="0.35">
      <c r="A115" s="2"/>
      <c r="B115" s="2"/>
      <c r="C115" s="2"/>
      <c r="D115" s="2"/>
      <c r="E115" s="2"/>
      <c r="F115" s="2"/>
    </row>
    <row r="116" spans="1:6" x14ac:dyDescent="0.35">
      <c r="A116" s="2"/>
      <c r="B116" s="2"/>
      <c r="C116" s="2"/>
      <c r="D116" s="2"/>
      <c r="E116" s="2"/>
      <c r="F116" s="2"/>
    </row>
    <row r="117" spans="1:6" x14ac:dyDescent="0.35">
      <c r="A117" s="2"/>
      <c r="B117" s="2"/>
      <c r="C117" s="2"/>
      <c r="D117" s="2"/>
      <c r="E117" s="2"/>
      <c r="F117" s="2"/>
    </row>
    <row r="118" spans="1:6" x14ac:dyDescent="0.35">
      <c r="A118" s="2"/>
      <c r="B118" s="2"/>
      <c r="C118" s="2"/>
      <c r="D118" s="2"/>
      <c r="E118" s="2"/>
      <c r="F118" s="2"/>
    </row>
    <row r="119" spans="1:6" x14ac:dyDescent="0.35">
      <c r="A119" s="2"/>
      <c r="B119" s="2"/>
      <c r="C119" s="2"/>
      <c r="D119" s="2"/>
      <c r="E119" s="2"/>
      <c r="F119" s="2"/>
    </row>
    <row r="120" spans="1:6" x14ac:dyDescent="0.35">
      <c r="A120" s="2"/>
      <c r="B120" s="2"/>
      <c r="C120" s="2"/>
      <c r="D120" s="2"/>
      <c r="E120" s="2"/>
      <c r="F120" s="2"/>
    </row>
    <row r="121" spans="1:6" x14ac:dyDescent="0.35">
      <c r="A121" s="2"/>
      <c r="B121" s="2"/>
      <c r="C121" s="2"/>
      <c r="D121" s="2"/>
      <c r="E121" s="2"/>
      <c r="F121" s="2"/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abSelected="1" zoomScaleNormal="10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N18" sqref="N18"/>
    </sheetView>
  </sheetViews>
  <sheetFormatPr defaultColWidth="8.6328125" defaultRowHeight="14.5" x14ac:dyDescent="0.35"/>
  <cols>
    <col min="1" max="1" width="15.453125" customWidth="1"/>
    <col min="2" max="2" width="21.36328125" customWidth="1"/>
    <col min="3" max="3" width="21.08984375" customWidth="1"/>
    <col min="4" max="4" width="19.90625" customWidth="1"/>
    <col min="5" max="5" width="19.54296875" customWidth="1"/>
    <col min="6" max="6" width="20.81640625" customWidth="1"/>
    <col min="7" max="7" width="20.26953125" customWidth="1"/>
    <col min="8" max="8" width="20.7265625" customWidth="1"/>
    <col min="9" max="9" width="21.81640625" customWidth="1"/>
    <col min="10" max="10" width="19.7265625" customWidth="1"/>
    <col min="11" max="11" width="21.81640625" customWidth="1"/>
    <col min="12" max="12" width="22.6328125" customWidth="1"/>
    <col min="13" max="13" width="19.7265625" customWidth="1"/>
    <col min="14" max="14" width="21.08984375" customWidth="1"/>
    <col min="15" max="15" width="23" customWidth="1"/>
    <col min="16" max="16" width="24.1796875" customWidth="1"/>
    <col min="17" max="17" width="22.08984375" customWidth="1"/>
    <col min="18" max="18" width="21.08984375" customWidth="1"/>
    <col min="19" max="19" width="23.54296875" customWidth="1"/>
  </cols>
  <sheetData>
    <row r="1" spans="1:19" x14ac:dyDescent="0.3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30</v>
      </c>
      <c r="N1" s="1" t="s">
        <v>19</v>
      </c>
      <c r="O1" s="8" t="s">
        <v>20</v>
      </c>
      <c r="P1" s="1" t="s">
        <v>21</v>
      </c>
      <c r="Q1" s="1" t="s">
        <v>22</v>
      </c>
      <c r="R1" s="1" t="s">
        <v>23</v>
      </c>
      <c r="S1" s="1" t="s">
        <v>24</v>
      </c>
    </row>
    <row r="2" spans="1:19" x14ac:dyDescent="0.35">
      <c r="A2" s="3">
        <v>343310</v>
      </c>
      <c r="B2" s="4">
        <f>IFERROR(AVERAGEIFS(gurobi!$C$2:$C$121,gurobi!$A$2:$A$121,A2),"")</f>
        <v>34.200000000000003</v>
      </c>
      <c r="C2" s="4">
        <f>IF(COUNTIFS(gurobi!$A$2:$A$121,A2)=0,"",SUMPRODUCT(MAX((gurobi!$A$2:$A$121=A2)*gurobi!$C$2:$C$121)))</f>
        <v>34.200000000000003</v>
      </c>
      <c r="D2" s="4">
        <f>IFERROR(AVERAGEIFS(lns!$C$2:$C$121,lns!$A$2:$A$121,A2),"")</f>
        <v>37.179999999999993</v>
      </c>
      <c r="E2" s="4">
        <f>IF(COUNTIFS(lns!$A$2:$A$121,A2)=0,"",SUMPRODUCT(MAX((lns!$A$2:$A$121=A2)*lns!$C$2:$C$121)))</f>
        <v>38</v>
      </c>
      <c r="F2" s="4">
        <f>IFERROR(AVERAGEIFS(gurobi!$D$2:$D$121,gurobi!$A$2:$A$121,A2),"")</f>
        <v>38.950000000000003</v>
      </c>
      <c r="G2" s="4">
        <f>IF(COUNTIFS(gurobi!$A$2:$A$121,A2)=0,"",SUMPRODUCT(MAX((gurobi!$A$2:$A$121=A2)*gurobi!$D$2:$D$121)))</f>
        <v>47.99</v>
      </c>
      <c r="H2" s="4">
        <f>IFERROR(AVERAGEIFS(lns!$D$2:$D$121,lns!$A$2:$A$121,A2),"")</f>
        <v>7.06</v>
      </c>
      <c r="I2" s="4">
        <f>IF(COUNTIFS(lns!$A$2:$A$121,A2)=0,"",SUMPRODUCT(MAX((lns!$A$2:$A$121=A2)*lns!$D$2:$D$121)))</f>
        <v>10.8</v>
      </c>
      <c r="J2" s="4">
        <f>IFERROR(AVERAGEIFS(gurobi!$E$2:$E$121,gurobi!$A$2:$A$121,A2),"")</f>
        <v>69.651700000000005</v>
      </c>
      <c r="K2" s="4" cm="1">
        <f t="array" ref="K2">IF(COUNTIFS(gurobi!$A$2:$A$121,A2)=0,"",SUMPRODUCT(MIN(IF(gurobi!$A$2:$A$121=A2,gurobi!$E$2:$E$121,1000000000000000))))</f>
        <v>61.517600000000002</v>
      </c>
      <c r="L2" s="4">
        <f>IFERROR(AVERAGEIFS(gurobi!$F$2:$F$121,gurobi!$A$2:$A$121,A2),"")</f>
        <v>90.984424999999987</v>
      </c>
      <c r="M2" s="4" cm="1">
        <f t="array" ref="M2">IF(COUNTIFS(gurobi!$A$2:$A$121,A2)=0,"",SUMPRODUCT(MIN(IF(gurobi!$A$2:$A$121=A2,gurobi!$F$2:$F$121))))</f>
        <v>90.878100000000003</v>
      </c>
      <c r="N2" s="4">
        <f>IFERROR(AVERAGEIFS(lns!$E$2:$E$121,lns!$A$2:$A$121,A2),"")</f>
        <v>89.019199999999998</v>
      </c>
      <c r="O2" s="7" cm="1">
        <f t="array" ref="O2">IF(COUNTIFS(lns!$A$2:$A$121,A2)=0,"",SUMPRODUCT(MIN(IF(lns!$A$2:$A$121=A2,lns!$E$2:$E$121))))</f>
        <v>88.752799999999993</v>
      </c>
      <c r="P2" s="4">
        <f>IFERROR(AVERAGEIFS(gurobi!$G$2:$G$121,gurobi!$A$2:$A$121,A2),"")</f>
        <v>900.25249999999994</v>
      </c>
      <c r="Q2" s="4">
        <f>IF(COUNTIFS(gurobi!$A$2:$A$121,A2)=0,"",SUMPRODUCT(MAX((gurobi!$A$2:$A$121=A2)*gurobi!$G$2:$G$121)))</f>
        <v>900.35</v>
      </c>
      <c r="R2" s="4">
        <f>IFERROR(AVERAGEIFS(lns!$F$2:$F$121,lns!$A$2:$A$121,A2),"")</f>
        <v>175.64000000000001</v>
      </c>
      <c r="S2" s="4">
        <f>IF(COUNTIFS(lns!$A$2:$A$121,A2)=0,"",SUMPRODUCT(MAX((lns!$A$2:$A$121=A2)*lns!$F$2:$F$121)))</f>
        <v>200.3</v>
      </c>
    </row>
    <row r="3" spans="1:19" x14ac:dyDescent="0.35">
      <c r="A3" s="3">
        <v>293874</v>
      </c>
      <c r="B3" s="4">
        <f>IFERROR(AVERAGEIFS(gurobi!$C$2:$C$121,gurobi!$A$2:$A$121,A3),"")</f>
        <v>33</v>
      </c>
      <c r="C3" s="4">
        <f>IF(COUNTIFS(gurobi!$A$2:$A$121,A3)=0,"",SUMPRODUCT(MAX((gurobi!$A$2:$A$121=A3)*gurobi!$C$2:$C$121)))</f>
        <v>33</v>
      </c>
      <c r="D3" s="4">
        <f>IFERROR(AVERAGEIFS(lns!$C$2:$C$121,lns!$A$2:$A$121,A3),"")</f>
        <v>37.28</v>
      </c>
      <c r="E3" s="4">
        <f>IF(COUNTIFS(lns!$A$2:$A$121,A3)=0,"",SUMPRODUCT(MAX((lns!$A$2:$A$121=A3)*lns!$C$2:$C$121)))</f>
        <v>38.299999999999997</v>
      </c>
      <c r="F3" s="4">
        <f>IFERROR(AVERAGEIFS(gurobi!$D$2:$D$121,gurobi!$A$2:$A$121,A3),"")</f>
        <v>16.064999999999998</v>
      </c>
      <c r="G3" s="4">
        <f>IF(COUNTIFS(gurobi!$A$2:$A$121,A3)=0,"",SUMPRODUCT(MAX((gurobi!$A$2:$A$121=A3)*gurobi!$D$2:$D$121)))</f>
        <v>17.399999999999999</v>
      </c>
      <c r="H3" s="4">
        <f>IFERROR(AVERAGEIFS(lns!$D$2:$D$121,lns!$A$2:$A$121,A3),"")</f>
        <v>3.84</v>
      </c>
      <c r="I3" s="4">
        <f>IF(COUNTIFS(lns!$A$2:$A$121,A3)=0,"",SUMPRODUCT(MAX((lns!$A$2:$A$121=A3)*lns!$D$2:$D$121)))</f>
        <v>5.0999999999999996</v>
      </c>
      <c r="J3" s="4">
        <f>IFERROR(AVERAGEIFS(gurobi!$E$2:$E$121,gurobi!$A$2:$A$121,A3),"")</f>
        <v>48.804000000000002</v>
      </c>
      <c r="K3" s="4" cm="1">
        <f t="array" ref="K3">IF(COUNTIFS(gurobi!$A$2:$A$121,A3)=0,"",SUMPRODUCT(MIN(IF(gurobi!$A$2:$A$121=A3,gurobi!$E$2:$E$121,1000000000000000))))</f>
        <v>27.407699999999998</v>
      </c>
      <c r="L3" s="4">
        <f>IFERROR(AVERAGEIFS(gurobi!$F$2:$F$121,gurobi!$A$2:$A$121,A3),"")</f>
        <v>90.98429999999999</v>
      </c>
      <c r="M3" s="4" cm="1">
        <f t="array" ref="M3">IF(COUNTIFS(gurobi!$A$2:$A$121,A3)=0,"",SUMPRODUCT(MIN(IF(gurobi!$A$2:$A$121=A3,gurobi!$F$2:$F$121))))</f>
        <v>90.946299999999994</v>
      </c>
      <c r="N3" s="4">
        <f>IFERROR(AVERAGEIFS(lns!$E$2:$E$121,lns!$A$2:$A$121,A3),"")</f>
        <v>88.839759999999998</v>
      </c>
      <c r="O3" s="4" cm="1">
        <f t="array" ref="O3">IF(COUNTIFS(lns!$A$2:$A$121,A3)=0,"",SUMPRODUCT(MIN(IF(lns!$A$2:$A$121=A3,lns!$E$2:$E$121))))</f>
        <v>88.426500000000004</v>
      </c>
      <c r="P3" s="4">
        <f>IFERROR(AVERAGEIFS(gurobi!$G$2:$G$121,gurobi!$A$2:$A$121,A3),"")</f>
        <v>900.24749999999995</v>
      </c>
      <c r="Q3" s="4">
        <f>IF(COUNTIFS(gurobi!$A$2:$A$121,A3)=0,"",SUMPRODUCT(MAX((gurobi!$A$2:$A$121=A3)*gurobi!$G$2:$G$121)))</f>
        <v>900.32</v>
      </c>
      <c r="R3" s="4">
        <f>IFERROR(AVERAGEIFS(lns!$F$2:$F$121,lns!$A$2:$A$121,A3),"")</f>
        <v>141.80000000000001</v>
      </c>
      <c r="S3" s="4">
        <f>IF(COUNTIFS(lns!$A$2:$A$121,A3)=0,"",SUMPRODUCT(MAX((lns!$A$2:$A$121=A3)*lns!$F$2:$F$121)))</f>
        <v>194.5</v>
      </c>
    </row>
    <row r="4" spans="1:19" x14ac:dyDescent="0.35">
      <c r="A4" s="3">
        <v>987034</v>
      </c>
      <c r="B4" s="4">
        <f>IFERROR(AVERAGEIFS(gurobi!$C$2:$C$121,gurobi!$A$2:$A$121,A4),"")</f>
        <v>30.6</v>
      </c>
      <c r="C4" s="4">
        <f>IF(COUNTIFS(gurobi!$A$2:$A$121,A4)=0,"",SUMPRODUCT(MAX((gurobi!$A$2:$A$121=A4)*gurobi!$C$2:$C$121)))</f>
        <v>30.6</v>
      </c>
      <c r="D4" s="4">
        <f>IFERROR(AVERAGEIFS(lns!$C$2:$C$121,lns!$A$2:$A$121,A4),"")</f>
        <v>34.06</v>
      </c>
      <c r="E4" s="4">
        <f>IF(COUNTIFS(lns!$A$2:$A$121,A4)=0,"",SUMPRODUCT(MAX((lns!$A$2:$A$121=A4)*lns!$C$2:$C$121)))</f>
        <v>36.5</v>
      </c>
      <c r="F4" s="4">
        <f>IFERROR(AVERAGEIFS(gurobi!$D$2:$D$121,gurobi!$A$2:$A$121,A4),"")</f>
        <v>29.504999999999999</v>
      </c>
      <c r="G4" s="4">
        <f>IF(COUNTIFS(gurobi!$A$2:$A$121,A4)=0,"",SUMPRODUCT(MAX((gurobi!$A$2:$A$121=A4)*gurobi!$D$2:$D$121)))</f>
        <v>33.950000000000003</v>
      </c>
      <c r="H4" s="4">
        <f>IFERROR(AVERAGEIFS(lns!$D$2:$D$121,lns!$A$2:$A$121,A4),"")</f>
        <v>3.94</v>
      </c>
      <c r="I4" s="4">
        <f>IF(COUNTIFS(lns!$A$2:$A$121,A4)=0,"",SUMPRODUCT(MAX((lns!$A$2:$A$121=A4)*lns!$D$2:$D$121)))</f>
        <v>4.8</v>
      </c>
      <c r="J4" s="4">
        <f>IFERROR(AVERAGEIFS(gurobi!$E$2:$E$121,gurobi!$A$2:$A$121,A4),"")</f>
        <v>77.952574999999996</v>
      </c>
      <c r="K4" s="4" cm="1">
        <f t="array" ref="K4">IF(COUNTIFS(gurobi!$A$2:$A$121,A4)=0,"",SUMPRODUCT(MIN(IF(gurobi!$A$2:$A$121=A4,gurobi!$E$2:$E$121,1000000000000000))))</f>
        <v>73.678200000000004</v>
      </c>
      <c r="L4" s="4">
        <f>IFERROR(AVERAGEIFS(gurobi!$F$2:$F$121,gurobi!$A$2:$A$121,A4),"")</f>
        <v>82.202200000000005</v>
      </c>
      <c r="M4" s="4" cm="1">
        <f t="array" ref="M4">IF(COUNTIFS(gurobi!$A$2:$A$121,A4)=0,"",SUMPRODUCT(MIN(IF(gurobi!$A$2:$A$121=A4,gurobi!$F$2:$F$121))))</f>
        <v>82.186999999999998</v>
      </c>
      <c r="N4" s="4">
        <f>IFERROR(AVERAGEIFS(lns!$E$2:$E$121,lns!$A$2:$A$121,A4),"")</f>
        <v>80.610160000000008</v>
      </c>
      <c r="O4" s="7" cm="1">
        <f t="array" ref="O4">IF(COUNTIFS(lns!$A$2:$A$121,A4)=0,"",SUMPRODUCT(MIN(IF(lns!$A$2:$A$121=A4,lns!$E$2:$E$121))))</f>
        <v>80.332800000000006</v>
      </c>
      <c r="P4" s="4">
        <f>IFERROR(AVERAGEIFS(gurobi!$G$2:$G$121,gurobi!$A$2:$A$121,A4),"")</f>
        <v>900.37250000000006</v>
      </c>
      <c r="Q4" s="4">
        <f>IF(COUNTIFS(gurobi!$A$2:$A$121,A4)=0,"",SUMPRODUCT(MAX((gurobi!$A$2:$A$121=A4)*gurobi!$G$2:$G$121)))</f>
        <v>900.56</v>
      </c>
      <c r="R4" s="4">
        <f>IFERROR(AVERAGEIFS(lns!$F$2:$F$121,lns!$A$2:$A$121,A4),"")</f>
        <v>120.05999999999999</v>
      </c>
      <c r="S4" s="4">
        <f>IF(COUNTIFS(lns!$A$2:$A$121,A4)=0,"",SUMPRODUCT(MAX((lns!$A$2:$A$121=A4)*lns!$F$2:$F$121)))</f>
        <v>200.4</v>
      </c>
    </row>
    <row r="5" spans="1:19" x14ac:dyDescent="0.35">
      <c r="A5" s="3">
        <v>789124</v>
      </c>
      <c r="B5" s="4">
        <f>IFERROR(AVERAGEIFS(gurobi!$C$2:$C$121,gurobi!$A$2:$A$121,A5),"")</f>
        <v>31.1</v>
      </c>
      <c r="C5" s="4">
        <f>IF(COUNTIFS(gurobi!$A$2:$A$121,A5)=0,"",SUMPRODUCT(MAX((gurobi!$A$2:$A$121=A5)*gurobi!$C$2:$C$121)))</f>
        <v>31.1</v>
      </c>
      <c r="D5" s="4">
        <f>IFERROR(AVERAGEIFS(lns!$C$2:$C$121,lns!$A$2:$A$121,A5),"")</f>
        <v>35.86</v>
      </c>
      <c r="E5" s="4">
        <f>IF(COUNTIFS(lns!$A$2:$A$121,A5)=0,"",SUMPRODUCT(MAX((lns!$A$2:$A$121=A5)*lns!$C$2:$C$121)))</f>
        <v>37.4</v>
      </c>
      <c r="F5" s="4">
        <f>IFERROR(AVERAGEIFS(gurobi!$D$2:$D$121,gurobi!$A$2:$A$121,A5),"")</f>
        <v>33.657499999999999</v>
      </c>
      <c r="G5" s="4">
        <f>IF(COUNTIFS(gurobi!$A$2:$A$121,A5)=0,"",SUMPRODUCT(MAX((gurobi!$A$2:$A$121=A5)*gurobi!$D$2:$D$121)))</f>
        <v>52.73</v>
      </c>
      <c r="H5" s="4">
        <f>IFERROR(AVERAGEIFS(lns!$D$2:$D$121,lns!$A$2:$A$121,A5),"")</f>
        <v>4.74</v>
      </c>
      <c r="I5" s="4">
        <f>IF(COUNTIFS(lns!$A$2:$A$121,A5)=0,"",SUMPRODUCT(MAX((lns!$A$2:$A$121=A5)*lns!$D$2:$D$121)))</f>
        <v>7.4</v>
      </c>
      <c r="J5" s="4">
        <f>IFERROR(AVERAGEIFS(gurobi!$E$2:$E$121,gurobi!$A$2:$A$121,A5),"")</f>
        <v>66.551100000000005</v>
      </c>
      <c r="K5" s="4" cm="1">
        <f t="array" ref="K5">IF(COUNTIFS(gurobi!$A$2:$A$121,A5)=0,"",SUMPRODUCT(MIN(IF(gurobi!$A$2:$A$121=A5,gurobi!$E$2:$E$121,1000000000000000))))</f>
        <v>60.3262</v>
      </c>
      <c r="L5" s="4">
        <f>IFERROR(AVERAGEIFS(gurobi!$F$2:$F$121,gurobi!$A$2:$A$121,A5),"")</f>
        <v>82.256349999999998</v>
      </c>
      <c r="M5" s="4" cm="1">
        <f t="array" ref="M5">IF(COUNTIFS(gurobi!$A$2:$A$121,A5)=0,"",SUMPRODUCT(MIN(IF(gurobi!$A$2:$A$121=A5,gurobi!$F$2:$F$121))))</f>
        <v>82.250699999999995</v>
      </c>
      <c r="N5" s="4">
        <f>IFERROR(AVERAGEIFS(lns!$E$2:$E$121,lns!$A$2:$A$121,A5),"")</f>
        <v>79.940300000000008</v>
      </c>
      <c r="O5" s="7" cm="1">
        <f t="array" ref="O5">IF(COUNTIFS(lns!$A$2:$A$121,A5)=0,"",SUMPRODUCT(MIN(IF(lns!$A$2:$A$121=A5,lns!$E$2:$E$121))))</f>
        <v>79.460099999999997</v>
      </c>
      <c r="P5" s="4">
        <f>IFERROR(AVERAGEIFS(gurobi!$G$2:$G$121,gurobi!$A$2:$A$121,A5),"")</f>
        <v>900.29499999999996</v>
      </c>
      <c r="Q5" s="4">
        <f>IF(COUNTIFS(gurobi!$A$2:$A$121,A5)=0,"",SUMPRODUCT(MAX((gurobi!$A$2:$A$121=A5)*gurobi!$G$2:$G$121)))</f>
        <v>900.41</v>
      </c>
      <c r="R5" s="4">
        <f>IFERROR(AVERAGEIFS(lns!$F$2:$F$121,lns!$A$2:$A$121,A5),"")</f>
        <v>174.78000000000003</v>
      </c>
      <c r="S5" s="4">
        <f>IF(COUNTIFS(lns!$A$2:$A$121,A5)=0,"",SUMPRODUCT(MAX((lns!$A$2:$A$121=A5)*lns!$F$2:$F$121)))</f>
        <v>200.2</v>
      </c>
    </row>
    <row r="6" spans="1:19" x14ac:dyDescent="0.35">
      <c r="O6" s="4" t="str">
        <f>IF(COUNTIFS(lns!$A$2:$A$121,A6)=0,"",SUMPRODUCT(MIN(IF(lns!$A$2:$A$121=A6,lns!$E$2:$E$121,1000))))</f>
        <v/>
      </c>
    </row>
    <row r="7" spans="1:19" x14ac:dyDescent="0.35">
      <c r="A7" s="5" t="s">
        <v>25</v>
      </c>
    </row>
    <row r="8" spans="1:19" x14ac:dyDescent="0.35">
      <c r="A8" s="6" t="s">
        <v>26</v>
      </c>
    </row>
    <row r="9" spans="1:19" x14ac:dyDescent="0.35">
      <c r="A9" s="6" t="s">
        <v>27</v>
      </c>
    </row>
    <row r="10" spans="1:19" x14ac:dyDescent="0.35">
      <c r="A10" s="6" t="s">
        <v>28</v>
      </c>
    </row>
    <row r="11" spans="1:19" x14ac:dyDescent="0.35">
      <c r="A11" s="6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933F5A67DEB4FB553543565834C10" ma:contentTypeVersion="11" ma:contentTypeDescription="Create a new document." ma:contentTypeScope="" ma:versionID="c2d12f1b35f99aaea1b28afbdef7157e">
  <xsd:schema xmlns:xsd="http://www.w3.org/2001/XMLSchema" xmlns:xs="http://www.w3.org/2001/XMLSchema" xmlns:p="http://schemas.microsoft.com/office/2006/metadata/properties" xmlns:ns3="e460a466-4caa-4023-afbf-bd0ad55715b4" xmlns:ns4="dcf18edb-e378-48b4-8663-a45cbb702074" targetNamespace="http://schemas.microsoft.com/office/2006/metadata/properties" ma:root="true" ma:fieldsID="3a626e94c25d137ec5eabc50cd001eb2" ns3:_="" ns4:_="">
    <xsd:import namespace="e460a466-4caa-4023-afbf-bd0ad55715b4"/>
    <xsd:import namespace="dcf18edb-e378-48b4-8663-a45cbb7020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0a466-4caa-4023-afbf-bd0ad55715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18edb-e378-48b4-8663-a45cbb7020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60a466-4caa-4023-afbf-bd0ad55715b4" xsi:nil="true"/>
  </documentManagement>
</p:properties>
</file>

<file path=customXml/itemProps1.xml><?xml version="1.0" encoding="utf-8"?>
<ds:datastoreItem xmlns:ds="http://schemas.openxmlformats.org/officeDocument/2006/customXml" ds:itemID="{A7897D05-E845-45FB-9E97-3B5C3A99178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460a466-4caa-4023-afbf-bd0ad55715b4"/>
    <ds:schemaRef ds:uri="dcf18edb-e378-48b4-8663-a45cbb70207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345052-209A-4C29-BC89-F8894D2FD6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F01A88-EE0D-458A-9E5A-D75EAC312AE6}">
  <ds:schemaRefs>
    <ds:schemaRef ds:uri="http://purl.org/dc/dcmitype/"/>
    <ds:schemaRef ds:uri="e460a466-4caa-4023-afbf-bd0ad55715b4"/>
    <ds:schemaRef ds:uri="http://schemas.microsoft.com/office/2006/documentManagement/types"/>
    <ds:schemaRef ds:uri="dcf18edb-e378-48b4-8663-a45cbb702074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gurobi</vt:lpstr>
      <vt:lpstr>lns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CHIODO MARTINA</cp:lastModifiedBy>
  <cp:revision>0</cp:revision>
  <dcterms:created xsi:type="dcterms:W3CDTF">2026-09-11T07:58:37Z</dcterms:created>
  <dcterms:modified xsi:type="dcterms:W3CDTF">2026-09-11T14:44:26Z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0x01010051B933F5A67DEB4FB553543565834C10</vt:lpwstr>
  </property>
</Properties>
</file>